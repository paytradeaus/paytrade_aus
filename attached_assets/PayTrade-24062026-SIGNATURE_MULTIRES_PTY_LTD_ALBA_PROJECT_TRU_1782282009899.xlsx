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6076ECBC-E7D8-4FF0-B317-76A0A9631F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I39" i="1"/>
  <c r="I37" i="1"/>
  <c r="I35" i="1"/>
  <c r="I31" i="1"/>
  <c r="J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0" authorId="0" shapeId="0" xr:uid="{C77C8784-9A6E-43B6-8B66-F39C38747C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be as follows:
$21,905.50 transferred 26/05/2026
$2,190.55 transferred 01/06/2026
</t>
        </r>
      </text>
    </comment>
  </commentList>
</comments>
</file>

<file path=xl/sharedStrings.xml><?xml version="1.0" encoding="utf-8"?>
<sst xmlns="http://schemas.openxmlformats.org/spreadsheetml/2006/main" count="1637" uniqueCount="537">
  <si>
    <t>Account ledger - SIGNATURE MULTIRES PTY LTD ALBA PROJECT TRUST ACCOUNT</t>
  </si>
  <si>
    <t>From: 13/03/2026 To: 30/06/2026</t>
  </si>
  <si>
    <t>Date</t>
  </si>
  <si>
    <t>Transaction</t>
  </si>
  <si>
    <t>Reference</t>
  </si>
  <si>
    <t>Debit</t>
  </si>
  <si>
    <t>Credit</t>
  </si>
  <si>
    <t>Balance</t>
  </si>
  <si>
    <t>SIGNATURE MULTIRES PTY LTD ALBA PROJECT TRUST ACCOUNT</t>
  </si>
  <si>
    <t>Opening Balance</t>
  </si>
  <si>
    <t/>
  </si>
  <si>
    <t>$0.00</t>
  </si>
  <si>
    <t>13/05/2026</t>
  </si>
  <si>
    <t>To take up the payments to contractors from the trust account - Payment Claim #100052</t>
  </si>
  <si>
    <t>#12</t>
  </si>
  <si>
    <t>$2,432.10</t>
  </si>
  <si>
    <t>-$2,432.10</t>
  </si>
  <si>
    <t>To take up the payments to contractors from the trust account - Payment Claim #100053</t>
  </si>
  <si>
    <t>#13</t>
  </si>
  <si>
    <t>$87,736.00</t>
  </si>
  <si>
    <t>-$90,168.10</t>
  </si>
  <si>
    <t>To take up the payments to contractors from the trust account - Payment Claim #100054</t>
  </si>
  <si>
    <t>#14</t>
  </si>
  <si>
    <t>$7,111.34</t>
  </si>
  <si>
    <t>-$97,279.44</t>
  </si>
  <si>
    <t>To take up the payments to contractors from the trust account - Payment Claim #100055</t>
  </si>
  <si>
    <t>#15</t>
  </si>
  <si>
    <t>$1,100.00</t>
  </si>
  <si>
    <t>-$98,379.44</t>
  </si>
  <si>
    <t>To take up the payments to contractors from the trust account - Payment Claim #100056</t>
  </si>
  <si>
    <t>#17</t>
  </si>
  <si>
    <t>$6,160.00</t>
  </si>
  <si>
    <t>-$104,539.44</t>
  </si>
  <si>
    <t>To take up the payments to contractors from the trust account - Payment Claim #100057</t>
  </si>
  <si>
    <t>#19</t>
  </si>
  <si>
    <t>$8,362.12</t>
  </si>
  <si>
    <t>-$112,901.56</t>
  </si>
  <si>
    <t>To take up the payments to contractors from the trust account - Payment Claim #100058</t>
  </si>
  <si>
    <t>#21</t>
  </si>
  <si>
    <t>$3,565.38</t>
  </si>
  <si>
    <t>-$116,466.94</t>
  </si>
  <si>
    <t>To take up the payments to contractors from the trust account - Payment Claim #100059</t>
  </si>
  <si>
    <t>#23</t>
  </si>
  <si>
    <t>$770.00</t>
  </si>
  <si>
    <t>-$117,236.94</t>
  </si>
  <si>
    <t>To take up the payments to contractors from the trust account - Payment Claim #100060</t>
  </si>
  <si>
    <t>#25</t>
  </si>
  <si>
    <t>$6,604.95</t>
  </si>
  <si>
    <t>-$123,841.89</t>
  </si>
  <si>
    <t>To take up the payments to contractors from the trust account - Payment Claim #100061</t>
  </si>
  <si>
    <t>#27</t>
  </si>
  <si>
    <t>$4,810.04</t>
  </si>
  <si>
    <t>-$128,651.93</t>
  </si>
  <si>
    <t>To take up the payments to contractors from the trust account - Payment Claim #100062</t>
  </si>
  <si>
    <t>#29</t>
  </si>
  <si>
    <t>$2,035.00</t>
  </si>
  <si>
    <t>-$130,686.93</t>
  </si>
  <si>
    <t>Top up trust account from trustee - beneficial interest taken up to Signature Multi-Res Pty Ltd</t>
  </si>
  <si>
    <t>#34</t>
  </si>
  <si>
    <t>$130,686.93</t>
  </si>
  <si>
    <t>19/05/2026</t>
  </si>
  <si>
    <t>To take up the payments to contractors from the trust account - Payment Claim #100051</t>
  </si>
  <si>
    <t>#35</t>
  </si>
  <si>
    <t>$16,776.02</t>
  </si>
  <si>
    <t>-$16,776.02</t>
  </si>
  <si>
    <t>REVERSAL - To take up the payments net of retentions to contractors from the trust account - Payment Claim #100051</t>
  </si>
  <si>
    <t>#36</t>
  </si>
  <si>
    <t>#38</t>
  </si>
  <si>
    <t>26/05/2026</t>
  </si>
  <si>
    <t>To take up the payments to contractors from the trust account - Payment Claim #100068</t>
  </si>
  <si>
    <t>#43</t>
  </si>
  <si>
    <t>$4,922.28</t>
  </si>
  <si>
    <t>-$21,698.30</t>
  </si>
  <si>
    <t>To take up the payments to contractors from the trust account - Payment Claim #100065</t>
  </si>
  <si>
    <t>#44</t>
  </si>
  <si>
    <t>$22,867.98</t>
  </si>
  <si>
    <t>-$44,566.28</t>
  </si>
  <si>
    <t>To take up the payments to contractors from the trust account - Payment Claim #100066</t>
  </si>
  <si>
    <t>#45</t>
  </si>
  <si>
    <t>$1,595.00</t>
  </si>
  <si>
    <t>-$46,161.28</t>
  </si>
  <si>
    <t>To take up the payments to contractors from the trust account - Payment Claim #100067</t>
  </si>
  <si>
    <t>#46</t>
  </si>
  <si>
    <t>$2,640.00</t>
  </si>
  <si>
    <t>-$48,801.28</t>
  </si>
  <si>
    <t>#47</t>
  </si>
  <si>
    <t>$389,991.92</t>
  </si>
  <si>
    <t>$341,190.64</t>
  </si>
  <si>
    <t>#48</t>
  </si>
  <si>
    <t>$21,905.50</t>
  </si>
  <si>
    <t>$363,096.14</t>
  </si>
  <si>
    <t>#49</t>
  </si>
  <si>
    <t>$48,801.28</t>
  </si>
  <si>
    <t>$411,897.42</t>
  </si>
  <si>
    <t>To take up the payments to contractors from the trust account - Payment Claim #100071</t>
  </si>
  <si>
    <t>#54</t>
  </si>
  <si>
    <t>$20,904.40</t>
  </si>
  <si>
    <t>$390,993.02</t>
  </si>
  <si>
    <t>30/05/2026</t>
  </si>
  <si>
    <t>Payment received into the trust account from Partnership Of FD Alba Pty Ltd, Signature Alba Pty Ltd &amp; JCA Alba Pty Ltd for progress claim #100079</t>
  </si>
  <si>
    <t>#67</t>
  </si>
  <si>
    <t>$1,492,297.79</t>
  </si>
  <si>
    <t>$1,883,290.81</t>
  </si>
  <si>
    <t>01/06/2026</t>
  </si>
  <si>
    <t>To take up the payments net of retentions to contractors from the trust account - Payment Claim #100077</t>
  </si>
  <si>
    <t>#57</t>
  </si>
  <si>
    <t>$369,087.52</t>
  </si>
  <si>
    <t>$1,514,203.29</t>
  </si>
  <si>
    <t>To take up the payments of retentions to the retention trust account - Payment claim #100077 ($24,096.05)</t>
  </si>
  <si>
    <t>#58</t>
  </si>
  <si>
    <t>$24,096.05</t>
  </si>
  <si>
    <t>$1,490,107.24</t>
  </si>
  <si>
    <t>To take up the payments to trustee from the trust account</t>
  </si>
  <si>
    <t>#68</t>
  </si>
  <si>
    <t>$1,237,545.52</t>
  </si>
  <si>
    <t>$252,561.72</t>
  </si>
  <si>
    <t>03/06/2026</t>
  </si>
  <si>
    <t>To take up the payments to contractors from the trust account - Payment Claim #100064</t>
  </si>
  <si>
    <t>#63</t>
  </si>
  <si>
    <t>$7,139.00</t>
  </si>
  <si>
    <t>$245,422.72</t>
  </si>
  <si>
    <t>To take up the payments to contractors from the trust account - Payment Claim #100069</t>
  </si>
  <si>
    <t>#64</t>
  </si>
  <si>
    <t>$4,619.18</t>
  </si>
  <si>
    <t>$240,803.54</t>
  </si>
  <si>
    <t>To take up the payments to contractors from the trust account - Payment Claim #100080</t>
  </si>
  <si>
    <t>#65</t>
  </si>
  <si>
    <t>$902.00</t>
  </si>
  <si>
    <t>$239,901.54</t>
  </si>
  <si>
    <t>To take up the payments to contractors from the trust account - Payment Claim #100078</t>
  </si>
  <si>
    <t>#66</t>
  </si>
  <si>
    <t>$4,400.00</t>
  </si>
  <si>
    <t>$235,501.54</t>
  </si>
  <si>
    <t>04/06/2026</t>
  </si>
  <si>
    <t>#69</t>
  </si>
  <si>
    <t>$112,000.00</t>
  </si>
  <si>
    <t>$123,501.54</t>
  </si>
  <si>
    <t>#70</t>
  </si>
  <si>
    <t>$20,000.00</t>
  </si>
  <si>
    <t>$103,501.54</t>
  </si>
  <si>
    <t>#118</t>
  </si>
  <si>
    <t>$83,501.54</t>
  </si>
  <si>
    <t>#119</t>
  </si>
  <si>
    <t>$17,060.18</t>
  </si>
  <si>
    <t>$66,441.36</t>
  </si>
  <si>
    <t>05/06/2026</t>
  </si>
  <si>
    <t>To take up the payments to contractors from the trust account - Payment Claim #100085</t>
  </si>
  <si>
    <t>#79</t>
  </si>
  <si>
    <t>$21,555.03</t>
  </si>
  <si>
    <t>$44,886.33</t>
  </si>
  <si>
    <t>08/06/2026</t>
  </si>
  <si>
    <t>#94</t>
  </si>
  <si>
    <t>$25,000.00</t>
  </si>
  <si>
    <t>$19,886.33</t>
  </si>
  <si>
    <t>#95</t>
  </si>
  <si>
    <t>-$5,113.67</t>
  </si>
  <si>
    <t>REVERSAL -To take up the payments to trustee from the trust account</t>
  </si>
  <si>
    <t>#96</t>
  </si>
  <si>
    <t>#120</t>
  </si>
  <si>
    <t>11/06/2026</t>
  </si>
  <si>
    <t>Payment received into the trust account from Partnership Of FD Alba Pty Ltd, Signature Alba Pty Ltd &amp; JCA Alba Pty Ltd for progress claim #100081</t>
  </si>
  <si>
    <t>#97</t>
  </si>
  <si>
    <t>$1,320,413.60</t>
  </si>
  <si>
    <t>$1,315,299.93</t>
  </si>
  <si>
    <t>12/06/2026</t>
  </si>
  <si>
    <t>#98</t>
  </si>
  <si>
    <t>$50,000.00</t>
  </si>
  <si>
    <t>$1,265,299.93</t>
  </si>
  <si>
    <t>#101</t>
  </si>
  <si>
    <t>$1,215,299.93</t>
  </si>
  <si>
    <t>#102</t>
  </si>
  <si>
    <t>15/06/2026</t>
  </si>
  <si>
    <t>#117</t>
  </si>
  <si>
    <t>$220,000.00</t>
  </si>
  <si>
    <t>$1,045,299.93</t>
  </si>
  <si>
    <t>16/06/2026</t>
  </si>
  <si>
    <t>To take up the payments to contractors from the trust account - Payment Claim #100091</t>
  </si>
  <si>
    <t>#108</t>
  </si>
  <si>
    <t>$600.00</t>
  </si>
  <si>
    <t>$1,044,699.93</t>
  </si>
  <si>
    <t>To take up the payments to contractors from the trust account - Payment Claim #100090</t>
  </si>
  <si>
    <t>#109</t>
  </si>
  <si>
    <t>$400.00</t>
  </si>
  <si>
    <t>$1,044,299.93</t>
  </si>
  <si>
    <t>#116</t>
  </si>
  <si>
    <t>$92,661.00</t>
  </si>
  <si>
    <t>$951,638.93</t>
  </si>
  <si>
    <t>17/06/2026</t>
  </si>
  <si>
    <t>To take up the payments to contractors from the trust account - Payment Claim #100092</t>
  </si>
  <si>
    <t>#111</t>
  </si>
  <si>
    <t>$89,712.79</t>
  </si>
  <si>
    <t>$861,926.14</t>
  </si>
  <si>
    <t>#115</t>
  </si>
  <si>
    <t>$55,000.00</t>
  </si>
  <si>
    <t>$806,926.14</t>
  </si>
  <si>
    <t>18/06/2026</t>
  </si>
  <si>
    <t>#114</t>
  </si>
  <si>
    <t>$38,768.45</t>
  </si>
  <si>
    <t>$768,157.69</t>
  </si>
  <si>
    <t>22/06/2026</t>
  </si>
  <si>
    <t>#113</t>
  </si>
  <si>
    <t>$100,000.00</t>
  </si>
  <si>
    <t>$668,157.69</t>
  </si>
  <si>
    <t>Total SIGNATURE MULTIRES PTY LTD ALBA PROJECT TRUST ACCOUNT</t>
  </si>
  <si>
    <t>$3,495,873.04</t>
  </si>
  <si>
    <t>$2,827,715.35</t>
  </si>
  <si>
    <t>Closing Balance</t>
  </si>
  <si>
    <t>SafeAssure Pty Ltd</t>
  </si>
  <si>
    <t>13/03/2026</t>
  </si>
  <si>
    <t>Take up Beneficial Interest to SafeAssure Pty Ltd - payment claim # 100067 - due 30/03/2026</t>
  </si>
  <si>
    <t>#41</t>
  </si>
  <si>
    <t>-$2,640.00</t>
  </si>
  <si>
    <t>15/04/2026</t>
  </si>
  <si>
    <t>Take up Beneficial Interest to SafeAssure Pty Ltd - payment claim # 100066 - due 30/04/2026</t>
  </si>
  <si>
    <t>#40</t>
  </si>
  <si>
    <t>-$4,235.00</t>
  </si>
  <si>
    <t>29/05/2026</t>
  </si>
  <si>
    <t>Take up Beneficial Interest to SafeAssure Pty Ltd - payment claim # 100078 - due 30/05/2026</t>
  </si>
  <si>
    <t>#59</t>
  </si>
  <si>
    <t>-$4,400.00</t>
  </si>
  <si>
    <t>Total SafeAssure Pty Ltd</t>
  </si>
  <si>
    <t>$8,635.00</t>
  </si>
  <si>
    <t>Traffic Control Innovations Pty Ltd</t>
  </si>
  <si>
    <t>31/03/2026</t>
  </si>
  <si>
    <t>Take up Beneficial Interest to Traffic Control Innovations Pty Ltd - payment claim # 100054 - due 30/03/2026</t>
  </si>
  <si>
    <t>#10</t>
  </si>
  <si>
    <t>-$7,111.34</t>
  </si>
  <si>
    <t>20/04/2026</t>
  </si>
  <si>
    <t>Take up Beneficial Interest to Traffic Control Innovations Pty Ltd - payment claim # 100061 - due 09/05/2026</t>
  </si>
  <si>
    <t>#26</t>
  </si>
  <si>
    <t>-$11,921.38</t>
  </si>
  <si>
    <t>30/04/2026</t>
  </si>
  <si>
    <t>Take up Beneficial Interest to Traffic Control Innovations Pty Ltd - payment claim # 100060 - due 30/04/2026</t>
  </si>
  <si>
    <t>#24</t>
  </si>
  <si>
    <t>-$18,526.33</t>
  </si>
  <si>
    <t>-$11,414.99</t>
  </si>
  <si>
    <t>-$4,810.04</t>
  </si>
  <si>
    <t>-$0.00</t>
  </si>
  <si>
    <t>14/05/2026</t>
  </si>
  <si>
    <t>Take up Beneficial Interest to Traffic Control Innovations Pty Ltd - payment claim # 100082 - due 30/05/2026</t>
  </si>
  <si>
    <t>#71</t>
  </si>
  <si>
    <t>$1,791.63</t>
  </si>
  <si>
    <t>-$1,791.63</t>
  </si>
  <si>
    <t>REVERSAL - Take up Beneficial Interest to Traffic Control Innovations Pty Ltd - payment claim # 100082 - due 11/06/2026</t>
  </si>
  <si>
    <t>#88</t>
  </si>
  <si>
    <t>Take up Beneficial Interest to Traffic Control Innovations Pty Ltd - payment claim # 100082 - due 11/06/2026</t>
  </si>
  <si>
    <t>#89</t>
  </si>
  <si>
    <t>31/05/2026</t>
  </si>
  <si>
    <t>Take up Beneficial Interest to Traffic Control Innovations Pty Ltd - payment claim # 100080 - due 30/05/2026</t>
  </si>
  <si>
    <t>#60</t>
  </si>
  <si>
    <t>-$2,693.63</t>
  </si>
  <si>
    <t>REVERSAL - Take up Beneficial Interest to Traffic Control Innovations Pty Ltd - payment claim # 100080 - due 03/06/2026</t>
  </si>
  <si>
    <t>#61</t>
  </si>
  <si>
    <t>Take up Beneficial Interest to Traffic Control Innovations Pty Ltd - payment claim # 100080 - due 03/06/2026</t>
  </si>
  <si>
    <t>#62</t>
  </si>
  <si>
    <t>Take up Beneficial Interest to Traffic Control Innovations Pty Ltd - payment claim # 100084 - due 30/05/2026</t>
  </si>
  <si>
    <t>#73</t>
  </si>
  <si>
    <t>$3,760.35</t>
  </si>
  <si>
    <t>-$6,453.98</t>
  </si>
  <si>
    <t>REVERSAL - Take up Beneficial Interest to Traffic Control Innovations Pty Ltd - payment claim # 100084 - due 30/06/2026</t>
  </si>
  <si>
    <t>#82</t>
  </si>
  <si>
    <t>Take up Beneficial Interest to Traffic Control Innovations Pty Ltd - payment claim # 100084 - due 30/06/2026</t>
  </si>
  <si>
    <t>#83</t>
  </si>
  <si>
    <t>-$5,551.98</t>
  </si>
  <si>
    <t>Total Traffic Control Innovations Pty Ltd</t>
  </si>
  <si>
    <t>$25,882.31</t>
  </si>
  <si>
    <t>$31,434.29</t>
  </si>
  <si>
    <t>$5,551.98</t>
  </si>
  <si>
    <t>Pacific Geotech Pty Ltd</t>
  </si>
  <si>
    <t>Take up Beneficial Interest to Pacific Geotech Pty Ltd - payment claim # 100074 - due 30/03/2026</t>
  </si>
  <si>
    <t>#55</t>
  </si>
  <si>
    <t>$319.00</t>
  </si>
  <si>
    <t>-$319.00</t>
  </si>
  <si>
    <t>REVERSAL - Take up Beneficial Interest to Pacific Geotech Pty Ltd - payment claim # 100074 - due 30/03/2026</t>
  </si>
  <si>
    <t>#99</t>
  </si>
  <si>
    <t>Total Pacific Geotech Pty Ltd</t>
  </si>
  <si>
    <t>Bunnings Trade</t>
  </si>
  <si>
    <t>07/04/2026</t>
  </si>
  <si>
    <t>Take up Beneficial Interest to Bunnings Trade - payment claim # 100063 - due 30/04/2026</t>
  </si>
  <si>
    <t>#30</t>
  </si>
  <si>
    <t>$100.00</t>
  </si>
  <si>
    <t>-$100.00</t>
  </si>
  <si>
    <t>REVERSAL - Take up Beneficial Interest to Bunnings Trade - payment claim # 100063 - due 30/04/2026</t>
  </si>
  <si>
    <t>#31</t>
  </si>
  <si>
    <t>#32</t>
  </si>
  <si>
    <t>#33</t>
  </si>
  <si>
    <t>Total Bunnings Trade</t>
  </si>
  <si>
    <t>$200.00</t>
  </si>
  <si>
    <t>Speedy Gantry Hire Pty Ltd</t>
  </si>
  <si>
    <t>16/04/2026</t>
  </si>
  <si>
    <t>Take up Beneficial Interest to Speedy Gantry Hire Pty Ltd - payment claim # 100053 - due 30/04/2026</t>
  </si>
  <si>
    <t>#9</t>
  </si>
  <si>
    <t>-$87,736.00</t>
  </si>
  <si>
    <t>27/04/2026</t>
  </si>
  <si>
    <t>Take up Beneficial Interest to Speedy Gantry Hire Pty Ltd - payment claim # 100052 - due 30/04/2026</t>
  </si>
  <si>
    <t>#8</t>
  </si>
  <si>
    <t>Total Speedy Gantry Hire Pty Ltd</t>
  </si>
  <si>
    <t>$90,168.10</t>
  </si>
  <si>
    <t>Acot Electrical</t>
  </si>
  <si>
    <t>22/04/2026</t>
  </si>
  <si>
    <t>Take up Beneficial Interest to Acot Electrical - payment claim # 100071 - due 30/04/2026</t>
  </si>
  <si>
    <t>#53</t>
  </si>
  <si>
    <t>-$20,904.40</t>
  </si>
  <si>
    <t>Take up Beneficial Interest to Richard Rowles Construction Programming Pty Ltd - payment claim # 100062 - due 30/04/2026</t>
  </si>
  <si>
    <t>#28</t>
  </si>
  <si>
    <t>-$22,939.40</t>
  </si>
  <si>
    <t>Total Acot Electrical</t>
  </si>
  <si>
    <t>$22,939.40</t>
  </si>
  <si>
    <t>Technical Security Solutions</t>
  </si>
  <si>
    <t>23/04/2026</t>
  </si>
  <si>
    <t>Take up Beneficial Interest to Technical Security Solutions - payment claim # 100057 - due 30/04/2026</t>
  </si>
  <si>
    <t>#18</t>
  </si>
  <si>
    <t>-$8,362.12</t>
  </si>
  <si>
    <t>Total Technical Security Solutions</t>
  </si>
  <si>
    <t>Trumud Concreting Pty Ltd</t>
  </si>
  <si>
    <t>25/04/2026</t>
  </si>
  <si>
    <t>Take up Beneficial Interest to Trumud Concreting Pty Ltd - payment claim # 100056 - due 30/04/2026</t>
  </si>
  <si>
    <t>#16</t>
  </si>
  <si>
    <t>-$6,160.00</t>
  </si>
  <si>
    <t>Total Trumud Concreting Pty Ltd</t>
  </si>
  <si>
    <t>APS Plumbing QLD Pty Ltd</t>
  </si>
  <si>
    <t>28/04/2026</t>
  </si>
  <si>
    <t>Take up Beneficial Interest to APS Plumbing QLD Pty Ltd - payment claim # 100051 - due 30/04/2026</t>
  </si>
  <si>
    <t>#7</t>
  </si>
  <si>
    <t>Total APS Plumbing QLD Pty Ltd</t>
  </si>
  <si>
    <t>$33,552.04</t>
  </si>
  <si>
    <t>Envirohealth Consulting Pty Ltd</t>
  </si>
  <si>
    <t>Take up Beneficial Interest to Envirohealth Consulting Pty Ltd - payment claim # 100059 - due 30/04/2026</t>
  </si>
  <si>
    <t>#22</t>
  </si>
  <si>
    <t>-$770.00</t>
  </si>
  <si>
    <t>Total Envirohealth Consulting Pty Ltd</t>
  </si>
  <si>
    <t>Newnham Scaffolding</t>
  </si>
  <si>
    <t>Take up Beneficial Interest to Newnham Scaffolding - payment claim # 100065 - due 30/04/2026</t>
  </si>
  <si>
    <t>#39</t>
  </si>
  <si>
    <t>-$22,867.98</t>
  </si>
  <si>
    <t>28/05/2026</t>
  </si>
  <si>
    <t>Take up Beneficial Interest to Newnham Scaffolding - payment claim # 100083 - due 30/05/2026</t>
  </si>
  <si>
    <t>#72</t>
  </si>
  <si>
    <t>$1,553.64</t>
  </si>
  <si>
    <t>-$1,553.64</t>
  </si>
  <si>
    <t>REVERSAL - Take up Beneficial Interest to Newnham Scaffolding - payment claim # 100083 - due 30/06/2026</t>
  </si>
  <si>
    <t>#86</t>
  </si>
  <si>
    <t>Take up Beneficial Interest to Newnham Scaffolding - payment claim # 100083 - due 30/06/2026</t>
  </si>
  <si>
    <t>#87</t>
  </si>
  <si>
    <t>Total Newnham Scaffolding</t>
  </si>
  <si>
    <t>$24,421.62</t>
  </si>
  <si>
    <t>$25,975.26</t>
  </si>
  <si>
    <t>State Wide Survey (The Trustee For THE COLLETT HOLDINGS TRUST)</t>
  </si>
  <si>
    <t>29/04/2026</t>
  </si>
  <si>
    <t>Take up Beneficial Interest to State Wide Survey (The Trustee For THE COLLETT HOLDINGS TRUST) - payment claim # 100058 - due 30/04/2026</t>
  </si>
  <si>
    <t>#20</t>
  </si>
  <si>
    <t>-$3,565.38</t>
  </si>
  <si>
    <t>27/05/2026</t>
  </si>
  <si>
    <t>Take up Beneficial Interest to State Wide Survey (The Trustee For THE COLLETT HOLDINGS TRUST) - payment claim # 100069 - due 30/05/2026</t>
  </si>
  <si>
    <t>#50</t>
  </si>
  <si>
    <t>-$4,619.18</t>
  </si>
  <si>
    <t>REVERSAL - Take up Beneficial Interest to State Wide Survey (The Trustee For THE COLLETT HOLDINGS TRUST) - payment claim # 100069 - due 30/05/2026</t>
  </si>
  <si>
    <t>#51</t>
  </si>
  <si>
    <t>#52</t>
  </si>
  <si>
    <t>Total State Wide Survey (The Trustee For THE COLLETT HOLDINGS TRUST)</t>
  </si>
  <si>
    <t>$12,803.74</t>
  </si>
  <si>
    <t>Plus Systems (Plus Teams Aust Pty Ltd)</t>
  </si>
  <si>
    <t>Take up Beneficial Interest to Plus Systems (Plus Teams Aust Pty Ltd) - payment claim # 100055 - due 30/04/2026</t>
  </si>
  <si>
    <t>#11</t>
  </si>
  <si>
    <t>-$1,100.00</t>
  </si>
  <si>
    <t>Total Plus Systems (Plus Teams Aust Pty Ltd)</t>
  </si>
  <si>
    <t>Richard Rowles Construction Programming Pty Ltd (Rowles Time Management)</t>
  </si>
  <si>
    <t>-$2,035.00</t>
  </si>
  <si>
    <t>Total Richard Rowles Construction Programming Pty Ltd (Rowles Time Management)</t>
  </si>
  <si>
    <t>MBA Consulting Engineers (MBACE PTY LTD)</t>
  </si>
  <si>
    <t>Take up Beneficial Interest to MBA Consulting Engineers (MBACE PTY LTD) - payment claim # 100064 - due 30/05/2026</t>
  </si>
  <si>
    <t>#37</t>
  </si>
  <si>
    <t>-$7,139.00</t>
  </si>
  <si>
    <t>Total MBA Consulting Engineers (MBACE PTY LTD)</t>
  </si>
  <si>
    <t>Timms Contractors Pty Ltd</t>
  </si>
  <si>
    <t>Take up Beneficial Interest to Timms Contractors Pty Ltd - payment claim # 100077 - due 30/04/2026</t>
  </si>
  <si>
    <t>#56</t>
  </si>
  <si>
    <t>$393,183.57</t>
  </si>
  <si>
    <t>-$393,183.57</t>
  </si>
  <si>
    <t>-$24,096.05</t>
  </si>
  <si>
    <t>Total Timms Contractors Pty Ltd</t>
  </si>
  <si>
    <t>APS Earthmoving</t>
  </si>
  <si>
    <t>11/05/2026</t>
  </si>
  <si>
    <t>Take up Beneficial Interest to APS Earthmoving - payment claim # 100068 - due 30/05/2026</t>
  </si>
  <si>
    <t>#42</t>
  </si>
  <si>
    <t>-$4,922.28</t>
  </si>
  <si>
    <t>Total APS Earthmoving</t>
  </si>
  <si>
    <t>Wilson Environmental Compliance</t>
  </si>
  <si>
    <t>Take up Beneficial Interest to Wilson Environmental Compliance - payment claim # 100087 - due 30/05/2026</t>
  </si>
  <si>
    <t>#81</t>
  </si>
  <si>
    <t>$4,100.00</t>
  </si>
  <si>
    <t>-$4,100.00</t>
  </si>
  <si>
    <t>REVERSAL - Take up Beneficial Interest to Wilson Environmental Compliance - payment claim # 100087 - due 30/06/2026</t>
  </si>
  <si>
    <t>#84</t>
  </si>
  <si>
    <t>Take up Beneficial Interest to Wilson Environmental Compliance - payment claim # 100087 - due 30/06/2026</t>
  </si>
  <si>
    <t>#85</t>
  </si>
  <si>
    <t>$4,510.00</t>
  </si>
  <si>
    <t>-$4,510.00</t>
  </si>
  <si>
    <t>Take up Beneficial Interest to Wilson Environmental Compliance - payment claim # 100088 - due 30/05/2026</t>
  </si>
  <si>
    <t>#90</t>
  </si>
  <si>
    <t>-$9,020.00</t>
  </si>
  <si>
    <t>REVERSAL - Take up Beneficial Interest to Wilson Environmental Compliance - payment claim # 100088 - due 30/06/2026</t>
  </si>
  <si>
    <t>#91</t>
  </si>
  <si>
    <t>Take up Beneficial Interest to Wilson Environmental Compliance - payment claim # 100088 - due 30/06/2026</t>
  </si>
  <si>
    <t>#92</t>
  </si>
  <si>
    <t>#93</t>
  </si>
  <si>
    <t>Total Wilson Environmental Compliance</t>
  </si>
  <si>
    <t>$13,120.00</t>
  </si>
  <si>
    <t>$17,630.00</t>
  </si>
  <si>
    <t>H.D Weber &amp; T.A Weber (GST FREE)</t>
  </si>
  <si>
    <t>Take up Beneficial Interest to H.D Weber &amp; T.A Weber (GST FREE) - payment claim # 100090 - due 30/05/2026</t>
  </si>
  <si>
    <t>#104</t>
  </si>
  <si>
    <t>-$400.00</t>
  </si>
  <si>
    <t>REVERSAL - Take up Beneficial Interest to H.D Weber &amp; T.A Weber (GST FREE) - payment claim # 100090 - due 01/06/2026</t>
  </si>
  <si>
    <t>#106</t>
  </si>
  <si>
    <t>Take up Beneficial Interest to H.D Weber &amp; T.A Weber (GST FREE) - payment claim # 100090 - due 01/06/2026</t>
  </si>
  <si>
    <t>#107</t>
  </si>
  <si>
    <t>Take up Beneficial Interest to H.D Weber &amp; T.A Weber (GST FREE) - payment claim # 100091 - due 30/06/2026</t>
  </si>
  <si>
    <t>#105</t>
  </si>
  <si>
    <t>-$1,000.00</t>
  </si>
  <si>
    <t>Total H.D Weber &amp; T.A Weber (GST FREE)</t>
  </si>
  <si>
    <t>$1,400.00</t>
  </si>
  <si>
    <t>SCF Group Pty Ltd</t>
  </si>
  <si>
    <t>Take up Beneficial Interest to SCF Group Pty Ltd - payment claim # 100086 - due 30/06/2026</t>
  </si>
  <si>
    <t>#80</t>
  </si>
  <si>
    <t>$6,567.00</t>
  </si>
  <si>
    <t>-$6,567.00</t>
  </si>
  <si>
    <t>Total SCF Group Pty Ltd</t>
  </si>
  <si>
    <t>The Trustee For RC Rotor &amp; Flight Trust (Xcellr8 Crane Trucks)</t>
  </si>
  <si>
    <t>Take up Beneficial Interest to The Trustee For RC Rotor &amp; Flight Trust (Xcellr8 Crane Trucks) - payment claim # 100089 - due 30/06/2026</t>
  </si>
  <si>
    <t>#100</t>
  </si>
  <si>
    <t>$1,551.25</t>
  </si>
  <si>
    <t>-$1,551.25</t>
  </si>
  <si>
    <t>REVERSAL - Take up Beneficial Interest to The Trustee For RC Rotor &amp; Flight Trust (Xcellr8 Crane Trucks) - payment claim # 100089 - due 30/06/2026</t>
  </si>
  <si>
    <t>#103</t>
  </si>
  <si>
    <t>Total The Trustee For RC Rotor &amp; Flight Trust (Xcellr8 Crane Trucks)</t>
  </si>
  <si>
    <t>Keller</t>
  </si>
  <si>
    <t>Take up Beneficial Interest to Keller - payment claim # 100093 - due 22/06/2026</t>
  </si>
  <si>
    <t>#112</t>
  </si>
  <si>
    <t>$224,154.98</t>
  </si>
  <si>
    <t>-$224,154.98</t>
  </si>
  <si>
    <t>Total Keller</t>
  </si>
  <si>
    <t>Evolution Precast (QLD) Pty Ltd</t>
  </si>
  <si>
    <t>Take up Beneficial Interest to Evolution Precast (QLD) Pty Ltd - payment claim # 100085 - due 30/06/2026</t>
  </si>
  <si>
    <t>#76</t>
  </si>
  <si>
    <t>-$21,555.03</t>
  </si>
  <si>
    <t>REVERSAL - Take up Beneficial Interest to Evolution Precast (QLD) Pty Ltd - payment claim # 100085 - due 30/06/2026</t>
  </si>
  <si>
    <t>#77</t>
  </si>
  <si>
    <t>#78</t>
  </si>
  <si>
    <t>30/06/2026</t>
  </si>
  <si>
    <t>Take up Beneficial Interest to Evolution Precast (QLD) Pty Ltd - payment claim # 100085 - due 30/07/2026</t>
  </si>
  <si>
    <t>#74</t>
  </si>
  <si>
    <t>#75</t>
  </si>
  <si>
    <t>Total Evolution Precast (QLD) Pty Ltd</t>
  </si>
  <si>
    <t>$64,665.09</t>
  </si>
  <si>
    <t>Remondis Australia Pty Ltd</t>
  </si>
  <si>
    <t>Take up Beneficial Interest to Remondis Australia Pty Ltd - payment claim # 100092 - due 22/06/2026</t>
  </si>
  <si>
    <t>#110</t>
  </si>
  <si>
    <t>-$89,712.79</t>
  </si>
  <si>
    <t>Total Remondis Australia Pty Ltd</t>
  </si>
  <si>
    <t>Signature Multi-Res Pty Ltd</t>
  </si>
  <si>
    <t>$9,751.34</t>
  </si>
  <si>
    <t>$10,070.34</t>
  </si>
  <si>
    <t>$9,851.34</t>
  </si>
  <si>
    <t>$11,346.34</t>
  </si>
  <si>
    <t>$99,082.34</t>
  </si>
  <si>
    <t>$103,892.38</t>
  </si>
  <si>
    <t>$124,796.78</t>
  </si>
  <si>
    <t>$133,158.90</t>
  </si>
  <si>
    <t>$139,318.90</t>
  </si>
  <si>
    <t>$141,751.00</t>
  </si>
  <si>
    <t>$158,527.02</t>
  </si>
  <si>
    <t>$159,297.02</t>
  </si>
  <si>
    <t>$182,165.00</t>
  </si>
  <si>
    <t>$185,730.38</t>
  </si>
  <si>
    <t>$186,830.38</t>
  </si>
  <si>
    <t>$193,435.33</t>
  </si>
  <si>
    <t>$195,470.33</t>
  </si>
  <si>
    <t>$202,609.33</t>
  </si>
  <si>
    <t>$595,792.90</t>
  </si>
  <si>
    <t>$600,715.18</t>
  </si>
  <si>
    <t>$470,028.25</t>
  </si>
  <si>
    <t>$471,819.88</t>
  </si>
  <si>
    <t>$81,827.96</t>
  </si>
  <si>
    <t>$59,922.46</t>
  </si>
  <si>
    <t>$11,121.18</t>
  </si>
  <si>
    <t>$15,740.36</t>
  </si>
  <si>
    <t>$17,294.00</t>
  </si>
  <si>
    <t>$21,694.00</t>
  </si>
  <si>
    <t>-$1,470,603.79</t>
  </si>
  <si>
    <t>-$1,469,701.79</t>
  </si>
  <si>
    <t>-$1,465,941.44</t>
  </si>
  <si>
    <t>-$1,461,841.44</t>
  </si>
  <si>
    <t>-$1,465,601.79</t>
  </si>
  <si>
    <t>-$1,461,431.44</t>
  </si>
  <si>
    <t>-$1,456,921.44</t>
  </si>
  <si>
    <t>-$1,461,031.44</t>
  </si>
  <si>
    <t>-$223,885.92</t>
  </si>
  <si>
    <t>-$217,318.92</t>
  </si>
  <si>
    <t>-$215,767.67</t>
  </si>
  <si>
    <t>-$216,918.92</t>
  </si>
  <si>
    <t>$7,236.06</t>
  </si>
  <si>
    <t>$119,236.06</t>
  </si>
  <si>
    <t>$139,236.06</t>
  </si>
  <si>
    <t>$160,791.09</t>
  </si>
  <si>
    <t>$180,791.09</t>
  </si>
  <si>
    <t>$197,851.27</t>
  </si>
  <si>
    <t>$222,851.27</t>
  </si>
  <si>
    <t>$247,851.27</t>
  </si>
  <si>
    <t>$312,564.06</t>
  </si>
  <si>
    <t>$337,564.06</t>
  </si>
  <si>
    <t>-$982,849.54</t>
  </si>
  <si>
    <t>-$932,849.54</t>
  </si>
  <si>
    <t>-$882,849.54</t>
  </si>
  <si>
    <t>-$932,249.54</t>
  </si>
  <si>
    <t>-$712,249.54</t>
  </si>
  <si>
    <t>-$619,588.54</t>
  </si>
  <si>
    <t>-$564,588.54</t>
  </si>
  <si>
    <t>-$525,820.09</t>
  </si>
  <si>
    <t>-$425,820.09</t>
  </si>
  <si>
    <t>-$404,265.06</t>
  </si>
  <si>
    <t>Total Signature Multi-Res Pty Ltd</t>
  </si>
  <si>
    <t>$3,124,604.04</t>
  </si>
  <si>
    <t>$3,550,424.13</t>
  </si>
  <si>
    <t>$425,820.09</t>
  </si>
  <si>
    <t>NOTE: This invoice was paid directly out of Sig Multi Res after notice from QBCC that Labour Hire is not considered a "subcontractor"</t>
  </si>
  <si>
    <t>Double ups??</t>
  </si>
  <si>
    <t>double up</t>
  </si>
  <si>
    <t>30/05/26 balance should be $1492297.79</t>
  </si>
  <si>
    <t>balance in paytrade</t>
  </si>
  <si>
    <t>correct balance XERO</t>
  </si>
  <si>
    <t>out of balance</t>
  </si>
  <si>
    <t>Notes:</t>
  </si>
  <si>
    <t>transferred to retention account 26/05/26</t>
  </si>
  <si>
    <t>gst component shortfall transferred to retention account 01/06/26</t>
  </si>
  <si>
    <t>double up?</t>
  </si>
  <si>
    <t>to be paid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</si>
</sst>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/>
    <xf numFmtId="164" fontId="2" fillId="0" borderId="2" xfId="0" applyNumberFormat="1" applyFont="1" applyBorder="1"/>
    <xf numFmtId="164" fontId="0" fillId="0" borderId="0" xfId="0" applyNumberFormat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4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5" fillId="0" borderId="3" xfId="0" applyNumberFormat="1" applyFont="1" applyBorder="1"/>
    <xf numFmtId="0" fontId="4" fillId="0" borderId="0" xfId="0" applyFont="1"/>
    <xf numFmtId="164" fontId="4" fillId="0" borderId="0" xfId="0" applyNumberFormat="1" applyFont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8" fontId="0" fillId="0" borderId="0" xfId="0" applyNumberFormat="1"/>
    <xf numFmtId="44" fontId="0" fillId="0" borderId="0" xfId="0" applyNumberFormat="1"/>
    <xf numFmtId="8" fontId="4" fillId="0" borderId="4" xfId="0" applyNumberFormat="1" applyFont="1" applyBorder="1"/>
    <xf numFmtId="164" fontId="0" fillId="4" borderId="0" xfId="0" applyNumberFormat="1" applyFill="1" applyAlignment="1">
      <alignment horizontal="right"/>
    </xf>
    <xf numFmtId="164" fontId="4" fillId="0" borderId="0" xfId="0" applyNumberFormat="1" applyFont="1"/>
    <xf numFmtId="44" fontId="0" fillId="0" borderId="5" xfId="1" applyFont="1" applyBorder="1"/>
    <xf numFmtId="164" fontId="4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2"/>
  <sheetViews>
    <sheetView tabSelected="1" topLeftCell="A202" workbookViewId="0">
      <selection activeCell="J221" sqref="J221"/>
    </sheetView>
  </sheetViews>
  <sheetFormatPr defaultRowHeight="14.5" x14ac:dyDescent="0.35"/>
  <cols>
    <col min="1" max="1" width="25" customWidth="1"/>
    <col min="2" max="2" width="50" customWidth="1"/>
    <col min="3" max="3" width="10" customWidth="1"/>
    <col min="4" max="5" width="15" customWidth="1"/>
    <col min="6" max="6" width="20" customWidth="1"/>
    <col min="8" max="8" width="9.81640625" bestFit="1" customWidth="1"/>
    <col min="9" max="9" width="13.6328125" bestFit="1" customWidth="1"/>
    <col min="10" max="10" width="10.81640625" bestFit="1" customWidth="1"/>
    <col min="13" max="13" width="11.08984375" bestFit="1" customWidth="1"/>
  </cols>
  <sheetData>
    <row r="1" spans="1:10" x14ac:dyDescent="0.35">
      <c r="A1" s="12" t="s">
        <v>0</v>
      </c>
      <c r="B1" s="12"/>
      <c r="C1" s="12"/>
      <c r="D1" s="12"/>
      <c r="E1" s="12"/>
      <c r="F1" s="12"/>
    </row>
    <row r="2" spans="1:10" x14ac:dyDescent="0.35">
      <c r="A2" s="1" t="s">
        <v>1</v>
      </c>
    </row>
    <row r="3" spans="1:10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10" s="3" customFormat="1" x14ac:dyDescent="0.35">
      <c r="A4" s="3" t="s">
        <v>8</v>
      </c>
      <c r="B4" s="3" t="s">
        <v>9</v>
      </c>
      <c r="C4" s="3" t="s">
        <v>10</v>
      </c>
      <c r="D4" s="3" t="s">
        <v>10</v>
      </c>
      <c r="E4" s="3" t="s">
        <v>10</v>
      </c>
      <c r="F4" s="4" t="s">
        <v>11</v>
      </c>
    </row>
    <row r="5" spans="1:10" x14ac:dyDescent="0.35">
      <c r="A5" t="s">
        <v>12</v>
      </c>
      <c r="B5" t="s">
        <v>13</v>
      </c>
      <c r="C5" t="s">
        <v>14</v>
      </c>
      <c r="D5" s="5"/>
      <c r="E5" s="5" t="s">
        <v>15</v>
      </c>
      <c r="F5" s="6" t="s">
        <v>16</v>
      </c>
      <c r="J5" s="5" t="s">
        <v>15</v>
      </c>
    </row>
    <row r="6" spans="1:10" x14ac:dyDescent="0.35">
      <c r="A6" t="s">
        <v>12</v>
      </c>
      <c r="B6" t="s">
        <v>17</v>
      </c>
      <c r="C6" t="s">
        <v>18</v>
      </c>
      <c r="D6" s="5"/>
      <c r="E6" s="5" t="s">
        <v>19</v>
      </c>
      <c r="F6" s="6" t="s">
        <v>20</v>
      </c>
      <c r="J6" s="5" t="s">
        <v>19</v>
      </c>
    </row>
    <row r="7" spans="1:10" x14ac:dyDescent="0.35">
      <c r="A7" t="s">
        <v>12</v>
      </c>
      <c r="B7" t="s">
        <v>21</v>
      </c>
      <c r="C7" t="s">
        <v>22</v>
      </c>
      <c r="D7" s="5"/>
      <c r="E7" s="5" t="s">
        <v>23</v>
      </c>
      <c r="F7" s="6" t="s">
        <v>24</v>
      </c>
      <c r="J7" s="5" t="s">
        <v>23</v>
      </c>
    </row>
    <row r="8" spans="1:10" x14ac:dyDescent="0.35">
      <c r="A8" t="s">
        <v>12</v>
      </c>
      <c r="B8" t="s">
        <v>25</v>
      </c>
      <c r="C8" t="s">
        <v>26</v>
      </c>
      <c r="D8" s="5"/>
      <c r="E8" s="5" t="s">
        <v>27</v>
      </c>
      <c r="F8" s="6" t="s">
        <v>28</v>
      </c>
      <c r="J8" s="5" t="s">
        <v>27</v>
      </c>
    </row>
    <row r="9" spans="1:10" x14ac:dyDescent="0.35">
      <c r="A9" t="s">
        <v>12</v>
      </c>
      <c r="B9" t="s">
        <v>29</v>
      </c>
      <c r="C9" t="s">
        <v>30</v>
      </c>
      <c r="D9" s="5"/>
      <c r="E9" s="5" t="s">
        <v>31</v>
      </c>
      <c r="F9" s="6" t="s">
        <v>32</v>
      </c>
      <c r="J9" s="5" t="s">
        <v>31</v>
      </c>
    </row>
    <row r="10" spans="1:10" x14ac:dyDescent="0.35">
      <c r="A10" t="s">
        <v>12</v>
      </c>
      <c r="B10" t="s">
        <v>33</v>
      </c>
      <c r="C10" t="s">
        <v>34</v>
      </c>
      <c r="D10" s="5"/>
      <c r="E10" s="5" t="s">
        <v>35</v>
      </c>
      <c r="F10" s="6" t="s">
        <v>36</v>
      </c>
      <c r="J10" s="5" t="s">
        <v>35</v>
      </c>
    </row>
    <row r="11" spans="1:10" x14ac:dyDescent="0.35">
      <c r="A11" t="s">
        <v>12</v>
      </c>
      <c r="B11" t="s">
        <v>37</v>
      </c>
      <c r="C11" t="s">
        <v>38</v>
      </c>
      <c r="D11" s="5"/>
      <c r="E11" s="5" t="s">
        <v>39</v>
      </c>
      <c r="F11" s="6" t="s">
        <v>40</v>
      </c>
      <c r="J11" s="5" t="s">
        <v>39</v>
      </c>
    </row>
    <row r="12" spans="1:10" x14ac:dyDescent="0.35">
      <c r="A12" t="s">
        <v>12</v>
      </c>
      <c r="B12" t="s">
        <v>41</v>
      </c>
      <c r="C12" t="s">
        <v>42</v>
      </c>
      <c r="D12" s="5"/>
      <c r="E12" s="5" t="s">
        <v>43</v>
      </c>
      <c r="F12" s="6" t="s">
        <v>44</v>
      </c>
      <c r="J12" s="5" t="s">
        <v>43</v>
      </c>
    </row>
    <row r="13" spans="1:10" x14ac:dyDescent="0.35">
      <c r="A13" t="s">
        <v>12</v>
      </c>
      <c r="B13" t="s">
        <v>45</v>
      </c>
      <c r="C13" t="s">
        <v>46</v>
      </c>
      <c r="D13" s="5"/>
      <c r="E13" s="5" t="s">
        <v>47</v>
      </c>
      <c r="F13" s="6" t="s">
        <v>48</v>
      </c>
      <c r="J13" s="5" t="s">
        <v>47</v>
      </c>
    </row>
    <row r="14" spans="1:10" x14ac:dyDescent="0.35">
      <c r="A14" t="s">
        <v>12</v>
      </c>
      <c r="B14" t="s">
        <v>49</v>
      </c>
      <c r="C14" t="s">
        <v>50</v>
      </c>
      <c r="D14" s="5"/>
      <c r="E14" s="5" t="s">
        <v>51</v>
      </c>
      <c r="F14" s="6" t="s">
        <v>52</v>
      </c>
      <c r="J14" s="5" t="s">
        <v>51</v>
      </c>
    </row>
    <row r="15" spans="1:10" x14ac:dyDescent="0.35">
      <c r="A15" t="s">
        <v>12</v>
      </c>
      <c r="B15" t="s">
        <v>53</v>
      </c>
      <c r="C15" t="s">
        <v>54</v>
      </c>
      <c r="D15" s="5"/>
      <c r="E15" s="5" t="s">
        <v>55</v>
      </c>
      <c r="F15" s="6" t="s">
        <v>56</v>
      </c>
      <c r="J15" s="5" t="s">
        <v>55</v>
      </c>
    </row>
    <row r="16" spans="1:10" x14ac:dyDescent="0.35">
      <c r="A16" t="s">
        <v>12</v>
      </c>
      <c r="B16" t="s">
        <v>57</v>
      </c>
      <c r="C16" t="s">
        <v>58</v>
      </c>
      <c r="D16" s="5" t="s">
        <v>59</v>
      </c>
      <c r="E16" s="5"/>
      <c r="F16" s="6" t="s">
        <v>11</v>
      </c>
      <c r="J16" s="13">
        <f>+J5+J6+J7+J8+J9+J10+J11+J12+J13+J14+J15</f>
        <v>130686.93</v>
      </c>
    </row>
    <row r="17" spans="1:10" x14ac:dyDescent="0.35">
      <c r="A17" t="s">
        <v>60</v>
      </c>
      <c r="B17" t="s">
        <v>61</v>
      </c>
      <c r="C17" t="s">
        <v>62</v>
      </c>
      <c r="D17" s="5"/>
      <c r="E17" s="5" t="s">
        <v>63</v>
      </c>
      <c r="F17" s="6" t="s">
        <v>64</v>
      </c>
    </row>
    <row r="18" spans="1:10" x14ac:dyDescent="0.35">
      <c r="A18" t="s">
        <v>60</v>
      </c>
      <c r="B18" t="s">
        <v>65</v>
      </c>
      <c r="C18" t="s">
        <v>66</v>
      </c>
      <c r="D18" s="5" t="s">
        <v>63</v>
      </c>
      <c r="E18" s="5"/>
      <c r="F18" s="6" t="s">
        <v>11</v>
      </c>
    </row>
    <row r="19" spans="1:10" x14ac:dyDescent="0.35">
      <c r="A19" s="14" t="s">
        <v>60</v>
      </c>
      <c r="B19" s="14" t="s">
        <v>61</v>
      </c>
      <c r="C19" s="14" t="s">
        <v>67</v>
      </c>
      <c r="D19" s="15"/>
      <c r="E19" s="15" t="s">
        <v>63</v>
      </c>
      <c r="F19" s="16" t="s">
        <v>64</v>
      </c>
      <c r="G19" t="s">
        <v>535</v>
      </c>
    </row>
    <row r="20" spans="1:10" x14ac:dyDescent="0.35">
      <c r="A20" t="s">
        <v>68</v>
      </c>
      <c r="B20" t="s">
        <v>69</v>
      </c>
      <c r="C20" t="s">
        <v>70</v>
      </c>
      <c r="D20" s="5"/>
      <c r="E20" s="5" t="s">
        <v>71</v>
      </c>
      <c r="F20" s="6" t="s">
        <v>72</v>
      </c>
    </row>
    <row r="21" spans="1:10" x14ac:dyDescent="0.35">
      <c r="A21" t="s">
        <v>68</v>
      </c>
      <c r="B21" t="s">
        <v>73</v>
      </c>
      <c r="C21" t="s">
        <v>74</v>
      </c>
      <c r="D21" s="5"/>
      <c r="E21" s="5" t="s">
        <v>75</v>
      </c>
      <c r="F21" s="6" t="s">
        <v>76</v>
      </c>
    </row>
    <row r="22" spans="1:10" x14ac:dyDescent="0.35">
      <c r="A22" t="s">
        <v>68</v>
      </c>
      <c r="B22" t="s">
        <v>77</v>
      </c>
      <c r="C22" t="s">
        <v>78</v>
      </c>
      <c r="D22" s="5"/>
      <c r="E22" s="5" t="s">
        <v>79</v>
      </c>
      <c r="F22" s="6" t="s">
        <v>80</v>
      </c>
    </row>
    <row r="23" spans="1:10" x14ac:dyDescent="0.35">
      <c r="A23" t="s">
        <v>68</v>
      </c>
      <c r="B23" t="s">
        <v>81</v>
      </c>
      <c r="C23" t="s">
        <v>82</v>
      </c>
      <c r="D23" s="5"/>
      <c r="E23" s="5" t="s">
        <v>83</v>
      </c>
      <c r="F23" s="6" t="s">
        <v>84</v>
      </c>
    </row>
    <row r="24" spans="1:10" x14ac:dyDescent="0.35">
      <c r="A24" t="s">
        <v>68</v>
      </c>
      <c r="B24" t="s">
        <v>57</v>
      </c>
      <c r="C24" t="s">
        <v>85</v>
      </c>
      <c r="D24" s="24" t="s">
        <v>86</v>
      </c>
      <c r="E24" s="5"/>
      <c r="F24" s="6" t="s">
        <v>87</v>
      </c>
    </row>
    <row r="25" spans="1:10" x14ac:dyDescent="0.35">
      <c r="A25" t="s">
        <v>68</v>
      </c>
      <c r="B25" t="s">
        <v>57</v>
      </c>
      <c r="C25" t="s">
        <v>88</v>
      </c>
      <c r="D25" s="24" t="s">
        <v>89</v>
      </c>
      <c r="E25" s="5"/>
      <c r="F25" s="6" t="s">
        <v>90</v>
      </c>
    </row>
    <row r="26" spans="1:10" x14ac:dyDescent="0.35">
      <c r="A26" t="s">
        <v>68</v>
      </c>
      <c r="B26" t="s">
        <v>57</v>
      </c>
      <c r="C26" t="s">
        <v>91</v>
      </c>
      <c r="D26" s="5" t="s">
        <v>92</v>
      </c>
      <c r="E26" s="5"/>
      <c r="F26" s="6" t="s">
        <v>93</v>
      </c>
    </row>
    <row r="27" spans="1:10" x14ac:dyDescent="0.35">
      <c r="A27" t="s">
        <v>68</v>
      </c>
      <c r="B27" t="s">
        <v>94</v>
      </c>
      <c r="C27" t="s">
        <v>95</v>
      </c>
      <c r="D27" s="5"/>
      <c r="E27" s="5" t="s">
        <v>96</v>
      </c>
      <c r="F27" s="6" t="s">
        <v>97</v>
      </c>
    </row>
    <row r="28" spans="1:10" x14ac:dyDescent="0.35">
      <c r="A28" t="s">
        <v>98</v>
      </c>
      <c r="B28" t="s">
        <v>99</v>
      </c>
      <c r="C28" t="s">
        <v>100</v>
      </c>
      <c r="D28" s="5" t="s">
        <v>101</v>
      </c>
      <c r="E28" s="5"/>
      <c r="F28" s="20" t="s">
        <v>102</v>
      </c>
      <c r="H28" t="s">
        <v>528</v>
      </c>
    </row>
    <row r="29" spans="1:10" x14ac:dyDescent="0.35">
      <c r="A29" t="s">
        <v>103</v>
      </c>
      <c r="B29" t="s">
        <v>104</v>
      </c>
      <c r="C29" t="s">
        <v>105</v>
      </c>
      <c r="D29" s="5"/>
      <c r="E29" s="24" t="s">
        <v>106</v>
      </c>
      <c r="F29" s="6" t="s">
        <v>107</v>
      </c>
      <c r="I29" s="22">
        <v>1883290.81</v>
      </c>
      <c r="J29" t="s">
        <v>529</v>
      </c>
    </row>
    <row r="30" spans="1:10" x14ac:dyDescent="0.35">
      <c r="A30" t="s">
        <v>103</v>
      </c>
      <c r="B30" t="s">
        <v>108</v>
      </c>
      <c r="C30" t="s">
        <v>109</v>
      </c>
      <c r="D30" s="5"/>
      <c r="E30" s="24" t="s">
        <v>110</v>
      </c>
      <c r="F30" s="6" t="s">
        <v>111</v>
      </c>
      <c r="I30" s="21">
        <v>1492297.79</v>
      </c>
      <c r="J30" t="s">
        <v>530</v>
      </c>
    </row>
    <row r="31" spans="1:10" x14ac:dyDescent="0.35">
      <c r="A31" t="s">
        <v>103</v>
      </c>
      <c r="B31" t="s">
        <v>112</v>
      </c>
      <c r="C31" t="s">
        <v>113</v>
      </c>
      <c r="D31" s="5"/>
      <c r="E31" s="5" t="s">
        <v>114</v>
      </c>
      <c r="F31" s="6" t="s">
        <v>115</v>
      </c>
      <c r="I31" s="23">
        <f>+I29-I30</f>
        <v>390993.02</v>
      </c>
      <c r="J31" s="18" t="s">
        <v>531</v>
      </c>
    </row>
    <row r="32" spans="1:10" x14ac:dyDescent="0.35">
      <c r="A32" t="s">
        <v>116</v>
      </c>
      <c r="B32" t="s">
        <v>117</v>
      </c>
      <c r="C32" t="s">
        <v>118</v>
      </c>
      <c r="D32" s="5"/>
      <c r="E32" s="5" t="s">
        <v>119</v>
      </c>
      <c r="F32" s="6" t="s">
        <v>120</v>
      </c>
    </row>
    <row r="33" spans="1:14" x14ac:dyDescent="0.35">
      <c r="A33" t="s">
        <v>116</v>
      </c>
      <c r="B33" t="s">
        <v>121</v>
      </c>
      <c r="C33" t="s">
        <v>122</v>
      </c>
      <c r="D33" s="5"/>
      <c r="E33" s="5" t="s">
        <v>123</v>
      </c>
      <c r="F33" s="6" t="s">
        <v>124</v>
      </c>
      <c r="I33" s="24" t="s">
        <v>106</v>
      </c>
    </row>
    <row r="34" spans="1:14" x14ac:dyDescent="0.35">
      <c r="A34" t="s">
        <v>116</v>
      </c>
      <c r="B34" t="s">
        <v>125</v>
      </c>
      <c r="C34" t="s">
        <v>126</v>
      </c>
      <c r="D34" s="5"/>
      <c r="E34" s="5" t="s">
        <v>127</v>
      </c>
      <c r="F34" s="6" t="s">
        <v>128</v>
      </c>
      <c r="I34" s="24" t="s">
        <v>110</v>
      </c>
    </row>
    <row r="35" spans="1:14" x14ac:dyDescent="0.35">
      <c r="A35" t="s">
        <v>116</v>
      </c>
      <c r="B35" t="s">
        <v>129</v>
      </c>
      <c r="C35" t="s">
        <v>130</v>
      </c>
      <c r="D35" s="5"/>
      <c r="E35" s="5" t="s">
        <v>131</v>
      </c>
      <c r="F35" s="6" t="s">
        <v>132</v>
      </c>
      <c r="I35" s="13">
        <f>+I33+I34</f>
        <v>393183.57</v>
      </c>
      <c r="L35" t="s">
        <v>532</v>
      </c>
      <c r="M35" s="21">
        <v>21905.5</v>
      </c>
      <c r="N35" t="s">
        <v>533</v>
      </c>
    </row>
    <row r="36" spans="1:14" x14ac:dyDescent="0.35">
      <c r="A36" t="s">
        <v>133</v>
      </c>
      <c r="B36" t="s">
        <v>112</v>
      </c>
      <c r="C36" t="s">
        <v>134</v>
      </c>
      <c r="D36" s="5"/>
      <c r="E36" s="5" t="s">
        <v>135</v>
      </c>
      <c r="F36" s="6" t="s">
        <v>136</v>
      </c>
      <c r="M36" s="26">
        <v>2190.5500000000002</v>
      </c>
      <c r="N36" t="s">
        <v>534</v>
      </c>
    </row>
    <row r="37" spans="1:14" x14ac:dyDescent="0.35">
      <c r="A37" t="s">
        <v>133</v>
      </c>
      <c r="B37" t="s">
        <v>112</v>
      </c>
      <c r="C37" t="s">
        <v>137</v>
      </c>
      <c r="D37" s="5"/>
      <c r="E37" s="5" t="s">
        <v>138</v>
      </c>
      <c r="F37" s="6" t="s">
        <v>139</v>
      </c>
      <c r="I37" s="13">
        <f>+I35+I36</f>
        <v>393183.57</v>
      </c>
      <c r="M37" s="22">
        <f>+M35+M36</f>
        <v>24096.05</v>
      </c>
    </row>
    <row r="38" spans="1:14" x14ac:dyDescent="0.35">
      <c r="A38" s="14" t="s">
        <v>133</v>
      </c>
      <c r="B38" s="14" t="s">
        <v>112</v>
      </c>
      <c r="C38" s="14" t="s">
        <v>140</v>
      </c>
      <c r="D38" s="15"/>
      <c r="E38" s="15" t="s">
        <v>138</v>
      </c>
      <c r="F38" s="16" t="s">
        <v>141</v>
      </c>
      <c r="G38" t="s">
        <v>527</v>
      </c>
      <c r="I38">
        <v>2190.5500000000002</v>
      </c>
    </row>
    <row r="39" spans="1:14" x14ac:dyDescent="0.35">
      <c r="A39" t="s">
        <v>133</v>
      </c>
      <c r="B39" t="s">
        <v>112</v>
      </c>
      <c r="C39" t="s">
        <v>142</v>
      </c>
      <c r="D39" s="5"/>
      <c r="E39" s="5" t="s">
        <v>143</v>
      </c>
      <c r="F39" s="6" t="s">
        <v>144</v>
      </c>
      <c r="I39" s="25">
        <f>+I37-I38</f>
        <v>390993.02</v>
      </c>
    </row>
    <row r="40" spans="1:14" x14ac:dyDescent="0.35">
      <c r="A40" t="s">
        <v>145</v>
      </c>
      <c r="B40" t="s">
        <v>146</v>
      </c>
      <c r="C40" t="s">
        <v>147</v>
      </c>
      <c r="D40" s="5"/>
      <c r="E40" s="5" t="s">
        <v>148</v>
      </c>
      <c r="F40" s="6" t="s">
        <v>149</v>
      </c>
    </row>
    <row r="41" spans="1:14" x14ac:dyDescent="0.35">
      <c r="A41" t="s">
        <v>150</v>
      </c>
      <c r="B41" t="s">
        <v>112</v>
      </c>
      <c r="C41" t="s">
        <v>151</v>
      </c>
      <c r="D41" s="5"/>
      <c r="E41" s="5" t="s">
        <v>152</v>
      </c>
      <c r="F41" s="6" t="s">
        <v>153</v>
      </c>
    </row>
    <row r="42" spans="1:14" x14ac:dyDescent="0.35">
      <c r="A42" s="14" t="s">
        <v>150</v>
      </c>
      <c r="B42" s="14" t="s">
        <v>112</v>
      </c>
      <c r="C42" s="14" t="s">
        <v>154</v>
      </c>
      <c r="D42" s="15"/>
      <c r="E42" s="15" t="s">
        <v>152</v>
      </c>
      <c r="F42" s="16" t="s">
        <v>155</v>
      </c>
      <c r="G42" t="s">
        <v>527</v>
      </c>
    </row>
    <row r="43" spans="1:14" x14ac:dyDescent="0.35">
      <c r="A43" t="s">
        <v>150</v>
      </c>
      <c r="B43" t="s">
        <v>156</v>
      </c>
      <c r="C43" t="s">
        <v>157</v>
      </c>
      <c r="D43" s="5" t="s">
        <v>152</v>
      </c>
      <c r="E43" s="5"/>
      <c r="F43" s="6" t="s">
        <v>153</v>
      </c>
    </row>
    <row r="44" spans="1:14" x14ac:dyDescent="0.35">
      <c r="A44" t="s">
        <v>150</v>
      </c>
      <c r="B44" t="s">
        <v>112</v>
      </c>
      <c r="C44" t="s">
        <v>158</v>
      </c>
      <c r="D44" s="5"/>
      <c r="E44" s="5" t="s">
        <v>152</v>
      </c>
      <c r="F44" s="6" t="s">
        <v>155</v>
      </c>
    </row>
    <row r="45" spans="1:14" x14ac:dyDescent="0.35">
      <c r="A45" t="s">
        <v>159</v>
      </c>
      <c r="B45" t="s">
        <v>160</v>
      </c>
      <c r="C45" t="s">
        <v>161</v>
      </c>
      <c r="D45" s="5" t="s">
        <v>162</v>
      </c>
      <c r="E45" s="5"/>
      <c r="F45" s="6" t="s">
        <v>163</v>
      </c>
    </row>
    <row r="46" spans="1:14" x14ac:dyDescent="0.35">
      <c r="A46" t="s">
        <v>164</v>
      </c>
      <c r="B46" t="s">
        <v>112</v>
      </c>
      <c r="C46" t="s">
        <v>165</v>
      </c>
      <c r="D46" s="5"/>
      <c r="E46" s="5" t="s">
        <v>166</v>
      </c>
      <c r="F46" s="6" t="s">
        <v>167</v>
      </c>
    </row>
    <row r="47" spans="1:14" x14ac:dyDescent="0.35">
      <c r="A47" s="14" t="s">
        <v>164</v>
      </c>
      <c r="B47" s="14" t="s">
        <v>112</v>
      </c>
      <c r="C47" s="14" t="s">
        <v>168</v>
      </c>
      <c r="D47" s="15"/>
      <c r="E47" s="15" t="s">
        <v>166</v>
      </c>
      <c r="F47" s="16" t="s">
        <v>169</v>
      </c>
      <c r="G47" t="s">
        <v>527</v>
      </c>
    </row>
    <row r="48" spans="1:14" x14ac:dyDescent="0.35">
      <c r="A48" t="s">
        <v>164</v>
      </c>
      <c r="B48" t="s">
        <v>156</v>
      </c>
      <c r="C48" t="s">
        <v>170</v>
      </c>
      <c r="D48" s="5" t="s">
        <v>166</v>
      </c>
      <c r="E48" s="5"/>
      <c r="F48" s="6" t="s">
        <v>167</v>
      </c>
    </row>
    <row r="49" spans="1:10" x14ac:dyDescent="0.35">
      <c r="A49" t="s">
        <v>171</v>
      </c>
      <c r="B49" t="s">
        <v>112</v>
      </c>
      <c r="C49" t="s">
        <v>172</v>
      </c>
      <c r="D49" s="5"/>
      <c r="E49" s="5" t="s">
        <v>173</v>
      </c>
      <c r="F49" s="6" t="s">
        <v>174</v>
      </c>
      <c r="J49" s="5"/>
    </row>
    <row r="50" spans="1:10" x14ac:dyDescent="0.35">
      <c r="A50" t="s">
        <v>175</v>
      </c>
      <c r="B50" t="s">
        <v>176</v>
      </c>
      <c r="C50" t="s">
        <v>177</v>
      </c>
      <c r="D50" s="5"/>
      <c r="E50" s="5" t="s">
        <v>178</v>
      </c>
      <c r="F50" s="6" t="s">
        <v>179</v>
      </c>
      <c r="J50" s="5"/>
    </row>
    <row r="51" spans="1:10" x14ac:dyDescent="0.35">
      <c r="A51" t="s">
        <v>175</v>
      </c>
      <c r="B51" t="s">
        <v>180</v>
      </c>
      <c r="C51" t="s">
        <v>181</v>
      </c>
      <c r="D51" s="5"/>
      <c r="E51" s="5" t="s">
        <v>182</v>
      </c>
      <c r="F51" s="6" t="s">
        <v>183</v>
      </c>
      <c r="J51" s="5"/>
    </row>
    <row r="52" spans="1:10" x14ac:dyDescent="0.35">
      <c r="A52" t="s">
        <v>175</v>
      </c>
      <c r="B52" t="s">
        <v>112</v>
      </c>
      <c r="C52" t="s">
        <v>184</v>
      </c>
      <c r="D52" s="5"/>
      <c r="E52" s="5" t="s">
        <v>185</v>
      </c>
      <c r="F52" s="6" t="s">
        <v>186</v>
      </c>
      <c r="J52" s="5"/>
    </row>
    <row r="53" spans="1:10" x14ac:dyDescent="0.35">
      <c r="A53" t="s">
        <v>187</v>
      </c>
      <c r="B53" t="s">
        <v>188</v>
      </c>
      <c r="C53" t="s">
        <v>189</v>
      </c>
      <c r="D53" s="5"/>
      <c r="E53" s="5" t="s">
        <v>190</v>
      </c>
      <c r="F53" s="6" t="s">
        <v>191</v>
      </c>
      <c r="J53" s="5"/>
    </row>
    <row r="54" spans="1:10" x14ac:dyDescent="0.35">
      <c r="A54" t="s">
        <v>187</v>
      </c>
      <c r="B54" t="s">
        <v>112</v>
      </c>
      <c r="C54" t="s">
        <v>192</v>
      </c>
      <c r="D54" s="5"/>
      <c r="E54" s="5" t="s">
        <v>193</v>
      </c>
      <c r="F54" s="6" t="s">
        <v>194</v>
      </c>
      <c r="J54" s="5"/>
    </row>
    <row r="55" spans="1:10" x14ac:dyDescent="0.35">
      <c r="A55" t="s">
        <v>195</v>
      </c>
      <c r="B55" t="s">
        <v>112</v>
      </c>
      <c r="C55" t="s">
        <v>196</v>
      </c>
      <c r="D55" s="5"/>
      <c r="E55" s="5" t="s">
        <v>197</v>
      </c>
      <c r="F55" s="6" t="s">
        <v>198</v>
      </c>
      <c r="J55" s="5"/>
    </row>
    <row r="56" spans="1:10" x14ac:dyDescent="0.35">
      <c r="A56" t="s">
        <v>199</v>
      </c>
      <c r="B56" t="s">
        <v>112</v>
      </c>
      <c r="C56" t="s">
        <v>200</v>
      </c>
      <c r="D56" s="5"/>
      <c r="E56" s="5" t="s">
        <v>201</v>
      </c>
      <c r="F56" s="6" t="s">
        <v>202</v>
      </c>
      <c r="J56" s="5"/>
    </row>
    <row r="57" spans="1:10" s="3" customFormat="1" x14ac:dyDescent="0.35">
      <c r="A57" s="3" t="s">
        <v>10</v>
      </c>
      <c r="B57" s="3" t="s">
        <v>203</v>
      </c>
      <c r="C57" s="3" t="s">
        <v>10</v>
      </c>
      <c r="D57" s="7" t="s">
        <v>204</v>
      </c>
      <c r="E57" s="7" t="s">
        <v>205</v>
      </c>
      <c r="F57" s="8"/>
      <c r="J57" s="7"/>
    </row>
    <row r="58" spans="1:10" s="3" customFormat="1" x14ac:dyDescent="0.35">
      <c r="A58" s="9" t="s">
        <v>10</v>
      </c>
      <c r="B58" s="9" t="s">
        <v>206</v>
      </c>
      <c r="C58" s="9" t="s">
        <v>10</v>
      </c>
      <c r="D58" s="10" t="s">
        <v>202</v>
      </c>
      <c r="E58" s="10" t="s">
        <v>10</v>
      </c>
      <c r="F58" s="11" t="s">
        <v>10</v>
      </c>
    </row>
    <row r="59" spans="1:10" s="3" customFormat="1" x14ac:dyDescent="0.35">
      <c r="A59" s="3" t="s">
        <v>207</v>
      </c>
      <c r="B59" s="3" t="s">
        <v>9</v>
      </c>
      <c r="C59" s="3" t="s">
        <v>10</v>
      </c>
      <c r="D59" s="3" t="s">
        <v>10</v>
      </c>
      <c r="E59" s="3" t="s">
        <v>10</v>
      </c>
      <c r="F59" s="4" t="s">
        <v>11</v>
      </c>
    </row>
    <row r="60" spans="1:10" x14ac:dyDescent="0.35">
      <c r="A60" t="s">
        <v>208</v>
      </c>
      <c r="B60" t="s">
        <v>209</v>
      </c>
      <c r="C60" t="s">
        <v>210</v>
      </c>
      <c r="D60" s="5"/>
      <c r="E60" s="5" t="s">
        <v>83</v>
      </c>
      <c r="F60" s="6" t="s">
        <v>211</v>
      </c>
    </row>
    <row r="61" spans="1:10" x14ac:dyDescent="0.35">
      <c r="A61" t="s">
        <v>212</v>
      </c>
      <c r="B61" t="s">
        <v>213</v>
      </c>
      <c r="C61" t="s">
        <v>214</v>
      </c>
      <c r="D61" s="5"/>
      <c r="E61" s="5" t="s">
        <v>79</v>
      </c>
      <c r="F61" s="6" t="s">
        <v>215</v>
      </c>
    </row>
    <row r="62" spans="1:10" x14ac:dyDescent="0.35">
      <c r="A62" t="s">
        <v>68</v>
      </c>
      <c r="B62" t="s">
        <v>77</v>
      </c>
      <c r="C62" t="s">
        <v>78</v>
      </c>
      <c r="D62" s="5" t="s">
        <v>79</v>
      </c>
      <c r="E62" s="5"/>
      <c r="F62" s="6" t="s">
        <v>211</v>
      </c>
    </row>
    <row r="63" spans="1:10" x14ac:dyDescent="0.35">
      <c r="A63" t="s">
        <v>68</v>
      </c>
      <c r="B63" t="s">
        <v>81</v>
      </c>
      <c r="C63" t="s">
        <v>82</v>
      </c>
      <c r="D63" s="5" t="s">
        <v>83</v>
      </c>
      <c r="E63" s="5"/>
      <c r="F63" s="6" t="s">
        <v>11</v>
      </c>
    </row>
    <row r="64" spans="1:10" x14ac:dyDescent="0.35">
      <c r="A64" t="s">
        <v>216</v>
      </c>
      <c r="B64" t="s">
        <v>217</v>
      </c>
      <c r="C64" t="s">
        <v>218</v>
      </c>
      <c r="D64" s="5"/>
      <c r="E64" s="5" t="s">
        <v>131</v>
      </c>
      <c r="F64" s="6" t="s">
        <v>219</v>
      </c>
    </row>
    <row r="65" spans="1:8" x14ac:dyDescent="0.35">
      <c r="A65" t="s">
        <v>116</v>
      </c>
      <c r="B65" t="s">
        <v>129</v>
      </c>
      <c r="C65" t="s">
        <v>130</v>
      </c>
      <c r="D65" s="5" t="s">
        <v>131</v>
      </c>
      <c r="E65" s="5"/>
      <c r="F65" s="6" t="s">
        <v>11</v>
      </c>
    </row>
    <row r="66" spans="1:8" s="3" customFormat="1" x14ac:dyDescent="0.35">
      <c r="A66" s="3" t="s">
        <v>10</v>
      </c>
      <c r="B66" s="3" t="s">
        <v>220</v>
      </c>
      <c r="C66" s="3" t="s">
        <v>10</v>
      </c>
      <c r="D66" s="7" t="s">
        <v>221</v>
      </c>
      <c r="E66" s="7" t="s">
        <v>221</v>
      </c>
      <c r="F66" s="8"/>
    </row>
    <row r="67" spans="1:8" s="3" customFormat="1" x14ac:dyDescent="0.35">
      <c r="A67" s="9" t="s">
        <v>10</v>
      </c>
      <c r="B67" s="9" t="s">
        <v>206</v>
      </c>
      <c r="C67" s="9" t="s">
        <v>10</v>
      </c>
      <c r="D67" s="10" t="s">
        <v>10</v>
      </c>
      <c r="E67" s="10" t="s">
        <v>11</v>
      </c>
      <c r="F67" s="11" t="s">
        <v>10</v>
      </c>
    </row>
    <row r="68" spans="1:8" s="3" customFormat="1" x14ac:dyDescent="0.35">
      <c r="A68" s="3" t="s">
        <v>222</v>
      </c>
      <c r="B68" s="3" t="s">
        <v>9</v>
      </c>
      <c r="C68" s="3" t="s">
        <v>10</v>
      </c>
      <c r="D68" s="3" t="s">
        <v>10</v>
      </c>
      <c r="E68" s="3" t="s">
        <v>10</v>
      </c>
      <c r="F68" s="4" t="s">
        <v>11</v>
      </c>
    </row>
    <row r="69" spans="1:8" x14ac:dyDescent="0.35">
      <c r="A69" t="s">
        <v>223</v>
      </c>
      <c r="B69" t="s">
        <v>224</v>
      </c>
      <c r="C69" t="s">
        <v>225</v>
      </c>
      <c r="D69" s="5"/>
      <c r="E69" s="5" t="s">
        <v>23</v>
      </c>
      <c r="F69" s="6" t="s">
        <v>226</v>
      </c>
    </row>
    <row r="70" spans="1:8" x14ac:dyDescent="0.35">
      <c r="A70" t="s">
        <v>227</v>
      </c>
      <c r="B70" t="s">
        <v>228</v>
      </c>
      <c r="C70" t="s">
        <v>229</v>
      </c>
      <c r="D70" s="5"/>
      <c r="E70" s="5" t="s">
        <v>51</v>
      </c>
      <c r="F70" s="6" t="s">
        <v>230</v>
      </c>
    </row>
    <row r="71" spans="1:8" x14ac:dyDescent="0.35">
      <c r="A71" t="s">
        <v>231</v>
      </c>
      <c r="B71" t="s">
        <v>232</v>
      </c>
      <c r="C71" t="s">
        <v>233</v>
      </c>
      <c r="D71" s="5"/>
      <c r="E71" s="5" t="s">
        <v>47</v>
      </c>
      <c r="F71" s="6" t="s">
        <v>234</v>
      </c>
    </row>
    <row r="72" spans="1:8" x14ac:dyDescent="0.35">
      <c r="A72" t="s">
        <v>12</v>
      </c>
      <c r="B72" t="s">
        <v>21</v>
      </c>
      <c r="C72" t="s">
        <v>22</v>
      </c>
      <c r="D72" s="5" t="s">
        <v>23</v>
      </c>
      <c r="E72" s="5"/>
      <c r="F72" s="6" t="s">
        <v>235</v>
      </c>
    </row>
    <row r="73" spans="1:8" x14ac:dyDescent="0.35">
      <c r="A73" t="s">
        <v>12</v>
      </c>
      <c r="B73" t="s">
        <v>45</v>
      </c>
      <c r="C73" t="s">
        <v>46</v>
      </c>
      <c r="D73" s="5" t="s">
        <v>47</v>
      </c>
      <c r="E73" s="5"/>
      <c r="F73" s="6" t="s">
        <v>236</v>
      </c>
    </row>
    <row r="74" spans="1:8" x14ac:dyDescent="0.35">
      <c r="A74" t="s">
        <v>12</v>
      </c>
      <c r="B74" t="s">
        <v>49</v>
      </c>
      <c r="C74" t="s">
        <v>50</v>
      </c>
      <c r="D74" s="5" t="s">
        <v>51</v>
      </c>
      <c r="E74" s="5"/>
      <c r="F74" s="6" t="s">
        <v>237</v>
      </c>
    </row>
    <row r="75" spans="1:8" x14ac:dyDescent="0.35">
      <c r="A75" s="18" t="s">
        <v>238</v>
      </c>
      <c r="B75" s="18" t="s">
        <v>239</v>
      </c>
      <c r="C75" s="18" t="s">
        <v>240</v>
      </c>
      <c r="D75" s="19"/>
      <c r="E75" s="19" t="s">
        <v>241</v>
      </c>
      <c r="F75" s="6" t="s">
        <v>242</v>
      </c>
    </row>
    <row r="76" spans="1:8" x14ac:dyDescent="0.35">
      <c r="A76" s="18" t="s">
        <v>238</v>
      </c>
      <c r="B76" s="18" t="s">
        <v>243</v>
      </c>
      <c r="C76" s="18" t="s">
        <v>244</v>
      </c>
      <c r="D76" s="19" t="s">
        <v>241</v>
      </c>
      <c r="E76" s="19"/>
      <c r="F76" s="6" t="s">
        <v>237</v>
      </c>
      <c r="H76" s="18" t="s">
        <v>525</v>
      </c>
    </row>
    <row r="77" spans="1:8" x14ac:dyDescent="0.35">
      <c r="A77" s="18" t="s">
        <v>238</v>
      </c>
      <c r="B77" s="18" t="s">
        <v>245</v>
      </c>
      <c r="C77" s="18" t="s">
        <v>246</v>
      </c>
      <c r="D77" s="19"/>
      <c r="E77" s="27" t="s">
        <v>241</v>
      </c>
      <c r="F77" s="6" t="s">
        <v>242</v>
      </c>
    </row>
    <row r="78" spans="1:8" x14ac:dyDescent="0.35">
      <c r="A78" t="s">
        <v>247</v>
      </c>
      <c r="B78" t="s">
        <v>248</v>
      </c>
      <c r="C78" t="s">
        <v>249</v>
      </c>
      <c r="D78" s="5"/>
      <c r="E78" s="5" t="s">
        <v>127</v>
      </c>
      <c r="F78" s="6" t="s">
        <v>250</v>
      </c>
    </row>
    <row r="79" spans="1:8" x14ac:dyDescent="0.35">
      <c r="A79" t="s">
        <v>247</v>
      </c>
      <c r="B79" t="s">
        <v>251</v>
      </c>
      <c r="C79" t="s">
        <v>252</v>
      </c>
      <c r="D79" s="5" t="s">
        <v>127</v>
      </c>
      <c r="E79" s="5"/>
      <c r="F79" s="6" t="s">
        <v>242</v>
      </c>
    </row>
    <row r="80" spans="1:8" x14ac:dyDescent="0.35">
      <c r="A80" s="18" t="s">
        <v>247</v>
      </c>
      <c r="B80" s="18" t="s">
        <v>253</v>
      </c>
      <c r="C80" s="18" t="s">
        <v>254</v>
      </c>
      <c r="D80" s="19"/>
      <c r="E80" s="19" t="s">
        <v>127</v>
      </c>
      <c r="F80" s="6" t="s">
        <v>250</v>
      </c>
    </row>
    <row r="81" spans="1:6" x14ac:dyDescent="0.35">
      <c r="A81" s="18" t="s">
        <v>247</v>
      </c>
      <c r="B81" s="18" t="s">
        <v>255</v>
      </c>
      <c r="C81" s="18" t="s">
        <v>256</v>
      </c>
      <c r="D81" s="19"/>
      <c r="E81" s="19" t="s">
        <v>257</v>
      </c>
      <c r="F81" s="6" t="s">
        <v>258</v>
      </c>
    </row>
    <row r="82" spans="1:6" x14ac:dyDescent="0.35">
      <c r="A82" s="18" t="s">
        <v>247</v>
      </c>
      <c r="B82" s="18" t="s">
        <v>259</v>
      </c>
      <c r="C82" s="18" t="s">
        <v>260</v>
      </c>
      <c r="D82" s="19" t="s">
        <v>257</v>
      </c>
      <c r="E82" s="19"/>
      <c r="F82" s="6" t="s">
        <v>250</v>
      </c>
    </row>
    <row r="83" spans="1:6" x14ac:dyDescent="0.35">
      <c r="A83" s="18" t="s">
        <v>247</v>
      </c>
      <c r="B83" s="18" t="s">
        <v>261</v>
      </c>
      <c r="C83" s="18" t="s">
        <v>262</v>
      </c>
      <c r="D83" s="19"/>
      <c r="E83" s="27" t="s">
        <v>257</v>
      </c>
      <c r="F83" s="6" t="s">
        <v>258</v>
      </c>
    </row>
    <row r="84" spans="1:6" x14ac:dyDescent="0.35">
      <c r="A84" t="s">
        <v>116</v>
      </c>
      <c r="B84" t="s">
        <v>125</v>
      </c>
      <c r="C84" t="s">
        <v>126</v>
      </c>
      <c r="D84" s="5" t="s">
        <v>127</v>
      </c>
      <c r="E84" s="5"/>
      <c r="F84" s="6" t="s">
        <v>263</v>
      </c>
    </row>
    <row r="85" spans="1:6" s="3" customFormat="1" x14ac:dyDescent="0.35">
      <c r="A85" s="3" t="s">
        <v>10</v>
      </c>
      <c r="B85" s="3" t="s">
        <v>264</v>
      </c>
      <c r="C85" s="3" t="s">
        <v>10</v>
      </c>
      <c r="D85" s="7" t="s">
        <v>265</v>
      </c>
      <c r="E85" s="7" t="s">
        <v>266</v>
      </c>
      <c r="F85" s="8"/>
    </row>
    <row r="86" spans="1:6" s="3" customFormat="1" x14ac:dyDescent="0.35">
      <c r="A86" s="9" t="s">
        <v>10</v>
      </c>
      <c r="B86" s="9" t="s">
        <v>206</v>
      </c>
      <c r="C86" s="9" t="s">
        <v>10</v>
      </c>
      <c r="D86" s="10" t="s">
        <v>10</v>
      </c>
      <c r="E86" s="17" t="s">
        <v>267</v>
      </c>
      <c r="F86" s="11" t="s">
        <v>10</v>
      </c>
    </row>
    <row r="87" spans="1:6" s="3" customFormat="1" x14ac:dyDescent="0.35">
      <c r="A87" s="3" t="s">
        <v>268</v>
      </c>
      <c r="B87" s="3" t="s">
        <v>9</v>
      </c>
      <c r="C87" s="3" t="s">
        <v>10</v>
      </c>
      <c r="D87" s="3" t="s">
        <v>10</v>
      </c>
      <c r="E87" s="3" t="s">
        <v>10</v>
      </c>
      <c r="F87" s="4" t="s">
        <v>11</v>
      </c>
    </row>
    <row r="88" spans="1:6" x14ac:dyDescent="0.35">
      <c r="A88" t="s">
        <v>223</v>
      </c>
      <c r="B88" t="s">
        <v>269</v>
      </c>
      <c r="C88" t="s">
        <v>270</v>
      </c>
      <c r="D88" s="5"/>
      <c r="E88" s="5" t="s">
        <v>271</v>
      </c>
      <c r="F88" s="6" t="s">
        <v>272</v>
      </c>
    </row>
    <row r="89" spans="1:6" x14ac:dyDescent="0.35">
      <c r="A89" t="s">
        <v>223</v>
      </c>
      <c r="B89" t="s">
        <v>273</v>
      </c>
      <c r="C89" t="s">
        <v>274</v>
      </c>
      <c r="D89" s="5" t="s">
        <v>271</v>
      </c>
      <c r="E89" s="5"/>
      <c r="F89" s="6" t="s">
        <v>11</v>
      </c>
    </row>
    <row r="90" spans="1:6" s="3" customFormat="1" x14ac:dyDescent="0.35">
      <c r="A90" s="3" t="s">
        <v>10</v>
      </c>
      <c r="B90" s="3" t="s">
        <v>275</v>
      </c>
      <c r="C90" s="3" t="s">
        <v>10</v>
      </c>
      <c r="D90" s="7" t="s">
        <v>271</v>
      </c>
      <c r="E90" s="7" t="s">
        <v>271</v>
      </c>
      <c r="F90" s="8"/>
    </row>
    <row r="91" spans="1:6" s="3" customFormat="1" x14ac:dyDescent="0.35">
      <c r="A91" s="9" t="s">
        <v>10</v>
      </c>
      <c r="B91" s="9" t="s">
        <v>206</v>
      </c>
      <c r="C91" s="9" t="s">
        <v>10</v>
      </c>
      <c r="D91" s="10" t="s">
        <v>10</v>
      </c>
      <c r="E91" s="10" t="s">
        <v>11</v>
      </c>
      <c r="F91" s="11" t="s">
        <v>10</v>
      </c>
    </row>
    <row r="92" spans="1:6" s="3" customFormat="1" x14ac:dyDescent="0.35">
      <c r="A92" s="3" t="s">
        <v>276</v>
      </c>
      <c r="B92" s="3" t="s">
        <v>9</v>
      </c>
      <c r="C92" s="3" t="s">
        <v>10</v>
      </c>
      <c r="D92" s="3" t="s">
        <v>10</v>
      </c>
      <c r="E92" s="3" t="s">
        <v>10</v>
      </c>
      <c r="F92" s="4" t="s">
        <v>11</v>
      </c>
    </row>
    <row r="93" spans="1:6" x14ac:dyDescent="0.35">
      <c r="A93" t="s">
        <v>277</v>
      </c>
      <c r="B93" t="s">
        <v>278</v>
      </c>
      <c r="C93" t="s">
        <v>279</v>
      </c>
      <c r="D93" s="5"/>
      <c r="E93" s="5" t="s">
        <v>280</v>
      </c>
      <c r="F93" s="6" t="s">
        <v>281</v>
      </c>
    </row>
    <row r="94" spans="1:6" x14ac:dyDescent="0.35">
      <c r="A94" t="s">
        <v>277</v>
      </c>
      <c r="B94" t="s">
        <v>282</v>
      </c>
      <c r="C94" t="s">
        <v>283</v>
      </c>
      <c r="D94" s="5" t="s">
        <v>280</v>
      </c>
      <c r="E94" s="5"/>
      <c r="F94" s="6" t="s">
        <v>11</v>
      </c>
    </row>
    <row r="95" spans="1:6" x14ac:dyDescent="0.35">
      <c r="A95" t="s">
        <v>277</v>
      </c>
      <c r="B95" t="s">
        <v>278</v>
      </c>
      <c r="C95" t="s">
        <v>284</v>
      </c>
      <c r="D95" s="5"/>
      <c r="E95" s="5" t="s">
        <v>280</v>
      </c>
      <c r="F95" s="6" t="s">
        <v>281</v>
      </c>
    </row>
    <row r="96" spans="1:6" x14ac:dyDescent="0.35">
      <c r="A96" t="s">
        <v>277</v>
      </c>
      <c r="B96" t="s">
        <v>282</v>
      </c>
      <c r="C96" t="s">
        <v>285</v>
      </c>
      <c r="D96" s="5" t="s">
        <v>280</v>
      </c>
      <c r="E96" s="5"/>
      <c r="F96" s="6" t="s">
        <v>11</v>
      </c>
    </row>
    <row r="97" spans="1:6" s="3" customFormat="1" x14ac:dyDescent="0.35">
      <c r="A97" s="3" t="s">
        <v>10</v>
      </c>
      <c r="B97" s="3" t="s">
        <v>286</v>
      </c>
      <c r="C97" s="3" t="s">
        <v>10</v>
      </c>
      <c r="D97" s="7" t="s">
        <v>287</v>
      </c>
      <c r="E97" s="7" t="s">
        <v>287</v>
      </c>
      <c r="F97" s="8"/>
    </row>
    <row r="98" spans="1:6" s="3" customFormat="1" x14ac:dyDescent="0.35">
      <c r="A98" s="9" t="s">
        <v>10</v>
      </c>
      <c r="B98" s="9" t="s">
        <v>206</v>
      </c>
      <c r="C98" s="9" t="s">
        <v>10</v>
      </c>
      <c r="D98" s="10" t="s">
        <v>10</v>
      </c>
      <c r="E98" s="10" t="s">
        <v>11</v>
      </c>
      <c r="F98" s="11" t="s">
        <v>10</v>
      </c>
    </row>
    <row r="99" spans="1:6" s="3" customFormat="1" x14ac:dyDescent="0.35">
      <c r="A99" s="3" t="s">
        <v>288</v>
      </c>
      <c r="B99" s="3" t="s">
        <v>9</v>
      </c>
      <c r="C99" s="3" t="s">
        <v>10</v>
      </c>
      <c r="D99" s="3" t="s">
        <v>10</v>
      </c>
      <c r="E99" s="3" t="s">
        <v>10</v>
      </c>
      <c r="F99" s="4" t="s">
        <v>11</v>
      </c>
    </row>
    <row r="100" spans="1:6" x14ac:dyDescent="0.35">
      <c r="A100" t="s">
        <v>289</v>
      </c>
      <c r="B100" t="s">
        <v>290</v>
      </c>
      <c r="C100" t="s">
        <v>291</v>
      </c>
      <c r="D100" s="5"/>
      <c r="E100" s="5" t="s">
        <v>19</v>
      </c>
      <c r="F100" s="6" t="s">
        <v>292</v>
      </c>
    </row>
    <row r="101" spans="1:6" x14ac:dyDescent="0.35">
      <c r="A101" t="s">
        <v>293</v>
      </c>
      <c r="B101" t="s">
        <v>294</v>
      </c>
      <c r="C101" t="s">
        <v>295</v>
      </c>
      <c r="D101" s="5"/>
      <c r="E101" s="5" t="s">
        <v>15</v>
      </c>
      <c r="F101" s="6" t="s">
        <v>20</v>
      </c>
    </row>
    <row r="102" spans="1:6" x14ac:dyDescent="0.35">
      <c r="A102" t="s">
        <v>12</v>
      </c>
      <c r="B102" t="s">
        <v>13</v>
      </c>
      <c r="C102" t="s">
        <v>14</v>
      </c>
      <c r="D102" s="5" t="s">
        <v>15</v>
      </c>
      <c r="E102" s="5"/>
      <c r="F102" s="6" t="s">
        <v>292</v>
      </c>
    </row>
    <row r="103" spans="1:6" x14ac:dyDescent="0.35">
      <c r="A103" t="s">
        <v>12</v>
      </c>
      <c r="B103" t="s">
        <v>17</v>
      </c>
      <c r="C103" t="s">
        <v>18</v>
      </c>
      <c r="D103" s="5" t="s">
        <v>19</v>
      </c>
      <c r="E103" s="5"/>
      <c r="F103" s="6" t="s">
        <v>11</v>
      </c>
    </row>
    <row r="104" spans="1:6" s="3" customFormat="1" x14ac:dyDescent="0.35">
      <c r="A104" s="3" t="s">
        <v>10</v>
      </c>
      <c r="B104" s="3" t="s">
        <v>296</v>
      </c>
      <c r="C104" s="3" t="s">
        <v>10</v>
      </c>
      <c r="D104" s="7" t="s">
        <v>297</v>
      </c>
      <c r="E104" s="7" t="s">
        <v>297</v>
      </c>
      <c r="F104" s="8"/>
    </row>
    <row r="105" spans="1:6" s="3" customFormat="1" x14ac:dyDescent="0.35">
      <c r="A105" s="9" t="s">
        <v>10</v>
      </c>
      <c r="B105" s="9" t="s">
        <v>206</v>
      </c>
      <c r="C105" s="9" t="s">
        <v>10</v>
      </c>
      <c r="D105" s="10" t="s">
        <v>10</v>
      </c>
      <c r="E105" s="10" t="s">
        <v>11</v>
      </c>
      <c r="F105" s="11" t="s">
        <v>10</v>
      </c>
    </row>
    <row r="106" spans="1:6" s="3" customFormat="1" x14ac:dyDescent="0.35">
      <c r="A106" s="3" t="s">
        <v>298</v>
      </c>
      <c r="B106" s="3" t="s">
        <v>9</v>
      </c>
      <c r="C106" s="3" t="s">
        <v>10</v>
      </c>
      <c r="D106" s="3" t="s">
        <v>10</v>
      </c>
      <c r="E106" s="3" t="s">
        <v>10</v>
      </c>
      <c r="F106" s="4" t="s">
        <v>11</v>
      </c>
    </row>
    <row r="107" spans="1:6" x14ac:dyDescent="0.35">
      <c r="A107" t="s">
        <v>299</v>
      </c>
      <c r="B107" t="s">
        <v>300</v>
      </c>
      <c r="C107" t="s">
        <v>301</v>
      </c>
      <c r="D107" s="5"/>
      <c r="E107" s="5" t="s">
        <v>96</v>
      </c>
      <c r="F107" s="6" t="s">
        <v>302</v>
      </c>
    </row>
    <row r="108" spans="1:6" x14ac:dyDescent="0.35">
      <c r="A108" t="s">
        <v>231</v>
      </c>
      <c r="B108" t="s">
        <v>303</v>
      </c>
      <c r="C108" t="s">
        <v>304</v>
      </c>
      <c r="D108" s="5"/>
      <c r="E108" s="5" t="s">
        <v>55</v>
      </c>
      <c r="F108" s="6" t="s">
        <v>305</v>
      </c>
    </row>
    <row r="109" spans="1:6" x14ac:dyDescent="0.35">
      <c r="A109" t="s">
        <v>12</v>
      </c>
      <c r="B109" t="s">
        <v>53</v>
      </c>
      <c r="C109" t="s">
        <v>54</v>
      </c>
      <c r="D109" s="5" t="s">
        <v>55</v>
      </c>
      <c r="E109" s="5"/>
      <c r="F109" s="6" t="s">
        <v>302</v>
      </c>
    </row>
    <row r="110" spans="1:6" x14ac:dyDescent="0.35">
      <c r="A110" t="s">
        <v>68</v>
      </c>
      <c r="B110" t="s">
        <v>94</v>
      </c>
      <c r="C110" t="s">
        <v>95</v>
      </c>
      <c r="D110" s="5" t="s">
        <v>96</v>
      </c>
      <c r="E110" s="5"/>
      <c r="F110" s="6" t="s">
        <v>11</v>
      </c>
    </row>
    <row r="111" spans="1:6" s="3" customFormat="1" x14ac:dyDescent="0.35">
      <c r="A111" s="3" t="s">
        <v>10</v>
      </c>
      <c r="B111" s="3" t="s">
        <v>306</v>
      </c>
      <c r="C111" s="3" t="s">
        <v>10</v>
      </c>
      <c r="D111" s="7" t="s">
        <v>307</v>
      </c>
      <c r="E111" s="7" t="s">
        <v>307</v>
      </c>
      <c r="F111" s="8"/>
    </row>
    <row r="112" spans="1:6" s="3" customFormat="1" x14ac:dyDescent="0.35">
      <c r="A112" s="9" t="s">
        <v>10</v>
      </c>
      <c r="B112" s="9" t="s">
        <v>206</v>
      </c>
      <c r="C112" s="9" t="s">
        <v>10</v>
      </c>
      <c r="D112" s="10" t="s">
        <v>10</v>
      </c>
      <c r="E112" s="10" t="s">
        <v>11</v>
      </c>
      <c r="F112" s="11" t="s">
        <v>10</v>
      </c>
    </row>
    <row r="113" spans="1:6" s="3" customFormat="1" x14ac:dyDescent="0.35">
      <c r="A113" s="3" t="s">
        <v>308</v>
      </c>
      <c r="B113" s="3" t="s">
        <v>9</v>
      </c>
      <c r="C113" s="3" t="s">
        <v>10</v>
      </c>
      <c r="D113" s="3" t="s">
        <v>10</v>
      </c>
      <c r="E113" s="3" t="s">
        <v>10</v>
      </c>
      <c r="F113" s="4" t="s">
        <v>11</v>
      </c>
    </row>
    <row r="114" spans="1:6" x14ac:dyDescent="0.35">
      <c r="A114" t="s">
        <v>309</v>
      </c>
      <c r="B114" t="s">
        <v>310</v>
      </c>
      <c r="C114" t="s">
        <v>311</v>
      </c>
      <c r="D114" s="5"/>
      <c r="E114" s="5" t="s">
        <v>35</v>
      </c>
      <c r="F114" s="6" t="s">
        <v>312</v>
      </c>
    </row>
    <row r="115" spans="1:6" x14ac:dyDescent="0.35">
      <c r="A115" t="s">
        <v>12</v>
      </c>
      <c r="B115" t="s">
        <v>33</v>
      </c>
      <c r="C115" t="s">
        <v>34</v>
      </c>
      <c r="D115" s="5" t="s">
        <v>35</v>
      </c>
      <c r="E115" s="5"/>
      <c r="F115" s="6" t="s">
        <v>11</v>
      </c>
    </row>
    <row r="116" spans="1:6" s="3" customFormat="1" x14ac:dyDescent="0.35">
      <c r="A116" s="3" t="s">
        <v>10</v>
      </c>
      <c r="B116" s="3" t="s">
        <v>313</v>
      </c>
      <c r="C116" s="3" t="s">
        <v>10</v>
      </c>
      <c r="D116" s="7" t="s">
        <v>35</v>
      </c>
      <c r="E116" s="7" t="s">
        <v>35</v>
      </c>
      <c r="F116" s="8"/>
    </row>
    <row r="117" spans="1:6" s="3" customFormat="1" x14ac:dyDescent="0.35">
      <c r="A117" s="9" t="s">
        <v>10</v>
      </c>
      <c r="B117" s="9" t="s">
        <v>206</v>
      </c>
      <c r="C117" s="9" t="s">
        <v>10</v>
      </c>
      <c r="D117" s="10" t="s">
        <v>10</v>
      </c>
      <c r="E117" s="10" t="s">
        <v>11</v>
      </c>
      <c r="F117" s="11" t="s">
        <v>10</v>
      </c>
    </row>
    <row r="118" spans="1:6" s="3" customFormat="1" x14ac:dyDescent="0.35">
      <c r="A118" s="3" t="s">
        <v>314</v>
      </c>
      <c r="B118" s="3" t="s">
        <v>9</v>
      </c>
      <c r="C118" s="3" t="s">
        <v>10</v>
      </c>
      <c r="D118" s="3" t="s">
        <v>10</v>
      </c>
      <c r="E118" s="3" t="s">
        <v>10</v>
      </c>
      <c r="F118" s="4" t="s">
        <v>11</v>
      </c>
    </row>
    <row r="119" spans="1:6" x14ac:dyDescent="0.35">
      <c r="A119" t="s">
        <v>315</v>
      </c>
      <c r="B119" t="s">
        <v>316</v>
      </c>
      <c r="C119" t="s">
        <v>317</v>
      </c>
      <c r="D119" s="5"/>
      <c r="E119" s="5" t="s">
        <v>31</v>
      </c>
      <c r="F119" s="6" t="s">
        <v>318</v>
      </c>
    </row>
    <row r="120" spans="1:6" x14ac:dyDescent="0.35">
      <c r="A120" t="s">
        <v>12</v>
      </c>
      <c r="B120" t="s">
        <v>29</v>
      </c>
      <c r="C120" t="s">
        <v>30</v>
      </c>
      <c r="D120" s="5" t="s">
        <v>31</v>
      </c>
      <c r="E120" s="5"/>
      <c r="F120" s="6" t="s">
        <v>11</v>
      </c>
    </row>
    <row r="121" spans="1:6" s="3" customFormat="1" x14ac:dyDescent="0.35">
      <c r="A121" s="3" t="s">
        <v>10</v>
      </c>
      <c r="B121" s="3" t="s">
        <v>319</v>
      </c>
      <c r="C121" s="3" t="s">
        <v>10</v>
      </c>
      <c r="D121" s="7" t="s">
        <v>31</v>
      </c>
      <c r="E121" s="7" t="s">
        <v>31</v>
      </c>
      <c r="F121" s="8"/>
    </row>
    <row r="122" spans="1:6" s="3" customFormat="1" x14ac:dyDescent="0.35">
      <c r="A122" s="9" t="s">
        <v>10</v>
      </c>
      <c r="B122" s="9" t="s">
        <v>206</v>
      </c>
      <c r="C122" s="9" t="s">
        <v>10</v>
      </c>
      <c r="D122" s="10" t="s">
        <v>10</v>
      </c>
      <c r="E122" s="10" t="s">
        <v>11</v>
      </c>
      <c r="F122" s="11" t="s">
        <v>10</v>
      </c>
    </row>
    <row r="123" spans="1:6" s="3" customFormat="1" x14ac:dyDescent="0.35">
      <c r="A123" s="3" t="s">
        <v>320</v>
      </c>
      <c r="B123" s="3" t="s">
        <v>9</v>
      </c>
      <c r="C123" s="3" t="s">
        <v>10</v>
      </c>
      <c r="D123" s="3" t="s">
        <v>10</v>
      </c>
      <c r="E123" s="3" t="s">
        <v>10</v>
      </c>
      <c r="F123" s="4" t="s">
        <v>11</v>
      </c>
    </row>
    <row r="124" spans="1:6" x14ac:dyDescent="0.35">
      <c r="A124" t="s">
        <v>321</v>
      </c>
      <c r="B124" t="s">
        <v>322</v>
      </c>
      <c r="C124" t="s">
        <v>323</v>
      </c>
      <c r="D124" s="5"/>
      <c r="E124" s="5" t="s">
        <v>63</v>
      </c>
      <c r="F124" s="6" t="s">
        <v>64</v>
      </c>
    </row>
    <row r="125" spans="1:6" x14ac:dyDescent="0.35">
      <c r="A125" t="s">
        <v>60</v>
      </c>
      <c r="B125" t="s">
        <v>61</v>
      </c>
      <c r="C125" t="s">
        <v>62</v>
      </c>
      <c r="D125" s="5" t="s">
        <v>63</v>
      </c>
      <c r="E125" s="5"/>
      <c r="F125" s="6" t="s">
        <v>11</v>
      </c>
    </row>
    <row r="126" spans="1:6" x14ac:dyDescent="0.35">
      <c r="A126" t="s">
        <v>60</v>
      </c>
      <c r="B126" t="s">
        <v>65</v>
      </c>
      <c r="C126" t="s">
        <v>66</v>
      </c>
      <c r="D126" s="5"/>
      <c r="E126" s="5" t="s">
        <v>63</v>
      </c>
      <c r="F126" s="6" t="s">
        <v>64</v>
      </c>
    </row>
    <row r="127" spans="1:6" x14ac:dyDescent="0.35">
      <c r="A127" t="s">
        <v>60</v>
      </c>
      <c r="B127" t="s">
        <v>61</v>
      </c>
      <c r="C127" t="s">
        <v>67</v>
      </c>
      <c r="D127" s="5" t="s">
        <v>63</v>
      </c>
      <c r="E127" s="5"/>
      <c r="F127" s="6" t="s">
        <v>11</v>
      </c>
    </row>
    <row r="128" spans="1:6" s="3" customFormat="1" x14ac:dyDescent="0.35">
      <c r="A128" s="3" t="s">
        <v>10</v>
      </c>
      <c r="B128" s="3" t="s">
        <v>324</v>
      </c>
      <c r="C128" s="3" t="s">
        <v>10</v>
      </c>
      <c r="D128" s="7" t="s">
        <v>325</v>
      </c>
      <c r="E128" s="7" t="s">
        <v>325</v>
      </c>
      <c r="F128" s="8"/>
    </row>
    <row r="129" spans="1:8" s="3" customFormat="1" x14ac:dyDescent="0.35">
      <c r="A129" s="9" t="s">
        <v>10</v>
      </c>
      <c r="B129" s="9" t="s">
        <v>206</v>
      </c>
      <c r="C129" s="9" t="s">
        <v>10</v>
      </c>
      <c r="D129" s="10" t="s">
        <v>10</v>
      </c>
      <c r="E129" s="10" t="s">
        <v>11</v>
      </c>
      <c r="F129" s="11" t="s">
        <v>10</v>
      </c>
    </row>
    <row r="130" spans="1:8" s="3" customFormat="1" x14ac:dyDescent="0.35">
      <c r="A130" s="3" t="s">
        <v>326</v>
      </c>
      <c r="B130" s="3" t="s">
        <v>9</v>
      </c>
      <c r="C130" s="3" t="s">
        <v>10</v>
      </c>
      <c r="D130" s="3" t="s">
        <v>10</v>
      </c>
      <c r="E130" s="3" t="s">
        <v>10</v>
      </c>
      <c r="F130" s="4" t="s">
        <v>11</v>
      </c>
    </row>
    <row r="131" spans="1:8" x14ac:dyDescent="0.35">
      <c r="A131" t="s">
        <v>321</v>
      </c>
      <c r="B131" t="s">
        <v>327</v>
      </c>
      <c r="C131" t="s">
        <v>328</v>
      </c>
      <c r="D131" s="5"/>
      <c r="E131" s="5" t="s">
        <v>43</v>
      </c>
      <c r="F131" s="6" t="s">
        <v>329</v>
      </c>
    </row>
    <row r="132" spans="1:8" x14ac:dyDescent="0.35">
      <c r="A132" t="s">
        <v>12</v>
      </c>
      <c r="B132" t="s">
        <v>41</v>
      </c>
      <c r="C132" t="s">
        <v>42</v>
      </c>
      <c r="D132" s="5" t="s">
        <v>43</v>
      </c>
      <c r="E132" s="5"/>
      <c r="F132" s="6" t="s">
        <v>11</v>
      </c>
    </row>
    <row r="133" spans="1:8" s="3" customFormat="1" x14ac:dyDescent="0.35">
      <c r="A133" s="3" t="s">
        <v>10</v>
      </c>
      <c r="B133" s="3" t="s">
        <v>330</v>
      </c>
      <c r="C133" s="3" t="s">
        <v>10</v>
      </c>
      <c r="D133" s="7" t="s">
        <v>43</v>
      </c>
      <c r="E133" s="7" t="s">
        <v>43</v>
      </c>
      <c r="F133" s="8"/>
    </row>
    <row r="134" spans="1:8" s="3" customFormat="1" x14ac:dyDescent="0.35">
      <c r="A134" s="9" t="s">
        <v>10</v>
      </c>
      <c r="B134" s="9" t="s">
        <v>206</v>
      </c>
      <c r="C134" s="9" t="s">
        <v>10</v>
      </c>
      <c r="D134" s="10" t="s">
        <v>10</v>
      </c>
      <c r="E134" s="10" t="s">
        <v>11</v>
      </c>
      <c r="F134" s="11" t="s">
        <v>10</v>
      </c>
    </row>
    <row r="135" spans="1:8" s="3" customFormat="1" x14ac:dyDescent="0.35">
      <c r="A135" s="3" t="s">
        <v>331</v>
      </c>
      <c r="B135" s="3" t="s">
        <v>9</v>
      </c>
      <c r="C135" s="3" t="s">
        <v>10</v>
      </c>
      <c r="D135" s="3" t="s">
        <v>10</v>
      </c>
      <c r="E135" s="3" t="s">
        <v>10</v>
      </c>
      <c r="F135" s="4" t="s">
        <v>11</v>
      </c>
    </row>
    <row r="136" spans="1:8" x14ac:dyDescent="0.35">
      <c r="A136" t="s">
        <v>321</v>
      </c>
      <c r="B136" t="s">
        <v>332</v>
      </c>
      <c r="C136" t="s">
        <v>333</v>
      </c>
      <c r="D136" s="5"/>
      <c r="E136" s="5" t="s">
        <v>75</v>
      </c>
      <c r="F136" s="6" t="s">
        <v>334</v>
      </c>
    </row>
    <row r="137" spans="1:8" x14ac:dyDescent="0.35">
      <c r="A137" t="s">
        <v>68</v>
      </c>
      <c r="B137" t="s">
        <v>73</v>
      </c>
      <c r="C137" t="s">
        <v>74</v>
      </c>
      <c r="D137" s="5" t="s">
        <v>75</v>
      </c>
      <c r="E137" s="5"/>
      <c r="F137" s="6" t="s">
        <v>11</v>
      </c>
    </row>
    <row r="138" spans="1:8" x14ac:dyDescent="0.35">
      <c r="A138" t="s">
        <v>335</v>
      </c>
      <c r="B138" t="s">
        <v>336</v>
      </c>
      <c r="C138" t="s">
        <v>337</v>
      </c>
      <c r="D138" s="5"/>
      <c r="E138" s="5" t="s">
        <v>338</v>
      </c>
      <c r="F138" s="6" t="s">
        <v>339</v>
      </c>
    </row>
    <row r="139" spans="1:8" x14ac:dyDescent="0.35">
      <c r="A139" t="s">
        <v>335</v>
      </c>
      <c r="B139" t="s">
        <v>340</v>
      </c>
      <c r="C139" t="s">
        <v>341</v>
      </c>
      <c r="D139" s="5" t="s">
        <v>338</v>
      </c>
      <c r="E139" s="5"/>
      <c r="F139" s="6" t="s">
        <v>11</v>
      </c>
    </row>
    <row r="140" spans="1:8" x14ac:dyDescent="0.35">
      <c r="A140" t="s">
        <v>335</v>
      </c>
      <c r="B140" t="s">
        <v>342</v>
      </c>
      <c r="C140" t="s">
        <v>343</v>
      </c>
      <c r="D140" s="5"/>
      <c r="E140" s="15" t="s">
        <v>338</v>
      </c>
      <c r="F140" s="6" t="s">
        <v>339</v>
      </c>
      <c r="H140" s="18" t="s">
        <v>526</v>
      </c>
    </row>
    <row r="141" spans="1:8" s="3" customFormat="1" x14ac:dyDescent="0.35">
      <c r="A141" s="3" t="s">
        <v>10</v>
      </c>
      <c r="B141" s="3" t="s">
        <v>344</v>
      </c>
      <c r="C141" s="3" t="s">
        <v>10</v>
      </c>
      <c r="D141" s="7" t="s">
        <v>345</v>
      </c>
      <c r="E141" s="7" t="s">
        <v>346</v>
      </c>
      <c r="F141" s="8"/>
    </row>
    <row r="142" spans="1:8" s="3" customFormat="1" x14ac:dyDescent="0.35">
      <c r="A142" s="9" t="s">
        <v>10</v>
      </c>
      <c r="B142" s="9" t="s">
        <v>206</v>
      </c>
      <c r="C142" s="9" t="s">
        <v>10</v>
      </c>
      <c r="D142" s="10" t="s">
        <v>10</v>
      </c>
      <c r="E142" s="17" t="s">
        <v>338</v>
      </c>
      <c r="F142" s="11" t="s">
        <v>10</v>
      </c>
    </row>
    <row r="143" spans="1:8" s="3" customFormat="1" x14ac:dyDescent="0.35">
      <c r="A143" s="3" t="s">
        <v>347</v>
      </c>
      <c r="B143" s="3" t="s">
        <v>9</v>
      </c>
      <c r="C143" s="3" t="s">
        <v>10</v>
      </c>
      <c r="D143" s="3" t="s">
        <v>10</v>
      </c>
      <c r="E143" s="3" t="s">
        <v>10</v>
      </c>
      <c r="F143" s="4" t="s">
        <v>11</v>
      </c>
    </row>
    <row r="144" spans="1:8" x14ac:dyDescent="0.35">
      <c r="A144" t="s">
        <v>348</v>
      </c>
      <c r="B144" t="s">
        <v>349</v>
      </c>
      <c r="C144" t="s">
        <v>350</v>
      </c>
      <c r="D144" s="5"/>
      <c r="E144" s="5" t="s">
        <v>39</v>
      </c>
      <c r="F144" s="6" t="s">
        <v>351</v>
      </c>
    </row>
    <row r="145" spans="1:6" x14ac:dyDescent="0.35">
      <c r="A145" t="s">
        <v>12</v>
      </c>
      <c r="B145" t="s">
        <v>37</v>
      </c>
      <c r="C145" t="s">
        <v>38</v>
      </c>
      <c r="D145" s="5" t="s">
        <v>39</v>
      </c>
      <c r="E145" s="5"/>
      <c r="F145" s="6" t="s">
        <v>11</v>
      </c>
    </row>
    <row r="146" spans="1:6" x14ac:dyDescent="0.35">
      <c r="A146" t="s">
        <v>352</v>
      </c>
      <c r="B146" t="s">
        <v>353</v>
      </c>
      <c r="C146" t="s">
        <v>354</v>
      </c>
      <c r="D146" s="5"/>
      <c r="E146" s="5" t="s">
        <v>123</v>
      </c>
      <c r="F146" s="6" t="s">
        <v>355</v>
      </c>
    </row>
    <row r="147" spans="1:6" x14ac:dyDescent="0.35">
      <c r="A147" t="s">
        <v>352</v>
      </c>
      <c r="B147" t="s">
        <v>356</v>
      </c>
      <c r="C147" t="s">
        <v>357</v>
      </c>
      <c r="D147" s="5" t="s">
        <v>123</v>
      </c>
      <c r="E147" s="5"/>
      <c r="F147" s="6" t="s">
        <v>11</v>
      </c>
    </row>
    <row r="148" spans="1:6" x14ac:dyDescent="0.35">
      <c r="A148" t="s">
        <v>352</v>
      </c>
      <c r="B148" t="s">
        <v>353</v>
      </c>
      <c r="C148" t="s">
        <v>358</v>
      </c>
      <c r="D148" s="5"/>
      <c r="E148" s="5" t="s">
        <v>123</v>
      </c>
      <c r="F148" s="6" t="s">
        <v>355</v>
      </c>
    </row>
    <row r="149" spans="1:6" x14ac:dyDescent="0.35">
      <c r="A149" t="s">
        <v>116</v>
      </c>
      <c r="B149" t="s">
        <v>121</v>
      </c>
      <c r="C149" t="s">
        <v>122</v>
      </c>
      <c r="D149" s="5" t="s">
        <v>123</v>
      </c>
      <c r="E149" s="5"/>
      <c r="F149" s="6" t="s">
        <v>11</v>
      </c>
    </row>
    <row r="150" spans="1:6" s="3" customFormat="1" x14ac:dyDescent="0.35">
      <c r="A150" s="3" t="s">
        <v>10</v>
      </c>
      <c r="B150" s="3" t="s">
        <v>359</v>
      </c>
      <c r="C150" s="3" t="s">
        <v>10</v>
      </c>
      <c r="D150" s="7" t="s">
        <v>360</v>
      </c>
      <c r="E150" s="7" t="s">
        <v>360</v>
      </c>
      <c r="F150" s="8"/>
    </row>
    <row r="151" spans="1:6" s="3" customFormat="1" x14ac:dyDescent="0.35">
      <c r="A151" s="9" t="s">
        <v>10</v>
      </c>
      <c r="B151" s="9" t="s">
        <v>206</v>
      </c>
      <c r="C151" s="9" t="s">
        <v>10</v>
      </c>
      <c r="D151" s="10" t="s">
        <v>10</v>
      </c>
      <c r="E151" s="10" t="s">
        <v>11</v>
      </c>
      <c r="F151" s="11" t="s">
        <v>10</v>
      </c>
    </row>
    <row r="152" spans="1:6" s="3" customFormat="1" x14ac:dyDescent="0.35">
      <c r="A152" s="3" t="s">
        <v>361</v>
      </c>
      <c r="B152" s="3" t="s">
        <v>9</v>
      </c>
      <c r="C152" s="3" t="s">
        <v>10</v>
      </c>
      <c r="D152" s="3" t="s">
        <v>10</v>
      </c>
      <c r="E152" s="3" t="s">
        <v>10</v>
      </c>
      <c r="F152" s="4" t="s">
        <v>11</v>
      </c>
    </row>
    <row r="153" spans="1:6" x14ac:dyDescent="0.35">
      <c r="A153" t="s">
        <v>231</v>
      </c>
      <c r="B153" t="s">
        <v>362</v>
      </c>
      <c r="C153" t="s">
        <v>363</v>
      </c>
      <c r="D153" s="5"/>
      <c r="E153" s="5" t="s">
        <v>27</v>
      </c>
      <c r="F153" s="6" t="s">
        <v>364</v>
      </c>
    </row>
    <row r="154" spans="1:6" x14ac:dyDescent="0.35">
      <c r="A154" t="s">
        <v>12</v>
      </c>
      <c r="B154" t="s">
        <v>25</v>
      </c>
      <c r="C154" t="s">
        <v>26</v>
      </c>
      <c r="D154" s="5" t="s">
        <v>27</v>
      </c>
      <c r="E154" s="5"/>
      <c r="F154" s="6" t="s">
        <v>11</v>
      </c>
    </row>
    <row r="155" spans="1:6" s="3" customFormat="1" x14ac:dyDescent="0.35">
      <c r="A155" s="3" t="s">
        <v>10</v>
      </c>
      <c r="B155" s="3" t="s">
        <v>365</v>
      </c>
      <c r="C155" s="3" t="s">
        <v>10</v>
      </c>
      <c r="D155" s="7" t="s">
        <v>27</v>
      </c>
      <c r="E155" s="7" t="s">
        <v>27</v>
      </c>
      <c r="F155" s="8"/>
    </row>
    <row r="156" spans="1:6" s="3" customFormat="1" x14ac:dyDescent="0.35">
      <c r="A156" s="9" t="s">
        <v>10</v>
      </c>
      <c r="B156" s="9" t="s">
        <v>206</v>
      </c>
      <c r="C156" s="9" t="s">
        <v>10</v>
      </c>
      <c r="D156" s="10" t="s">
        <v>10</v>
      </c>
      <c r="E156" s="10" t="s">
        <v>11</v>
      </c>
      <c r="F156" s="11" t="s">
        <v>10</v>
      </c>
    </row>
    <row r="157" spans="1:6" s="3" customFormat="1" x14ac:dyDescent="0.35">
      <c r="A157" s="3" t="s">
        <v>366</v>
      </c>
      <c r="B157" s="3" t="s">
        <v>9</v>
      </c>
      <c r="C157" s="3" t="s">
        <v>10</v>
      </c>
      <c r="D157" s="3" t="s">
        <v>10</v>
      </c>
      <c r="E157" s="3" t="s">
        <v>10</v>
      </c>
      <c r="F157" s="4" t="s">
        <v>11</v>
      </c>
    </row>
    <row r="158" spans="1:6" x14ac:dyDescent="0.35">
      <c r="A158" t="s">
        <v>231</v>
      </c>
      <c r="B158" t="s">
        <v>303</v>
      </c>
      <c r="C158" t="s">
        <v>304</v>
      </c>
      <c r="D158" s="5"/>
      <c r="E158" s="5" t="s">
        <v>55</v>
      </c>
      <c r="F158" s="6" t="s">
        <v>367</v>
      </c>
    </row>
    <row r="159" spans="1:6" x14ac:dyDescent="0.35">
      <c r="A159" t="s">
        <v>12</v>
      </c>
      <c r="B159" t="s">
        <v>53</v>
      </c>
      <c r="C159" t="s">
        <v>54</v>
      </c>
      <c r="D159" s="5" t="s">
        <v>55</v>
      </c>
      <c r="E159" s="5"/>
      <c r="F159" s="6" t="s">
        <v>11</v>
      </c>
    </row>
    <row r="160" spans="1:6" x14ac:dyDescent="0.35">
      <c r="A160" t="s">
        <v>68</v>
      </c>
      <c r="B160" t="s">
        <v>94</v>
      </c>
      <c r="C160" t="s">
        <v>95</v>
      </c>
      <c r="D160" s="15" t="s">
        <v>96</v>
      </c>
      <c r="E160" s="5"/>
      <c r="F160" s="6" t="s">
        <v>96</v>
      </c>
    </row>
    <row r="161" spans="1:6" s="3" customFormat="1" x14ac:dyDescent="0.35">
      <c r="A161" s="3" t="s">
        <v>10</v>
      </c>
      <c r="B161" s="3" t="s">
        <v>368</v>
      </c>
      <c r="C161" s="3" t="s">
        <v>10</v>
      </c>
      <c r="D161" s="7" t="s">
        <v>307</v>
      </c>
      <c r="E161" s="7" t="s">
        <v>55</v>
      </c>
      <c r="F161" s="8"/>
    </row>
    <row r="162" spans="1:6" s="3" customFormat="1" x14ac:dyDescent="0.35">
      <c r="A162" s="9" t="s">
        <v>10</v>
      </c>
      <c r="B162" s="9" t="s">
        <v>206</v>
      </c>
      <c r="C162" s="9" t="s">
        <v>10</v>
      </c>
      <c r="D162" s="10" t="s">
        <v>96</v>
      </c>
      <c r="E162" s="10" t="s">
        <v>10</v>
      </c>
      <c r="F162" s="11" t="s">
        <v>10</v>
      </c>
    </row>
    <row r="163" spans="1:6" s="3" customFormat="1" x14ac:dyDescent="0.35">
      <c r="A163" s="3" t="s">
        <v>369</v>
      </c>
      <c r="B163" s="3" t="s">
        <v>9</v>
      </c>
      <c r="C163" s="3" t="s">
        <v>10</v>
      </c>
      <c r="D163" s="3" t="s">
        <v>10</v>
      </c>
      <c r="E163" s="3" t="s">
        <v>10</v>
      </c>
      <c r="F163" s="4" t="s">
        <v>11</v>
      </c>
    </row>
    <row r="164" spans="1:6" x14ac:dyDescent="0.35">
      <c r="A164" t="s">
        <v>231</v>
      </c>
      <c r="B164" t="s">
        <v>370</v>
      </c>
      <c r="C164" t="s">
        <v>371</v>
      </c>
      <c r="D164" s="5"/>
      <c r="E164" s="5" t="s">
        <v>119</v>
      </c>
      <c r="F164" s="6" t="s">
        <v>372</v>
      </c>
    </row>
    <row r="165" spans="1:6" x14ac:dyDescent="0.35">
      <c r="A165" t="s">
        <v>116</v>
      </c>
      <c r="B165" t="s">
        <v>117</v>
      </c>
      <c r="C165" t="s">
        <v>118</v>
      </c>
      <c r="D165" s="5" t="s">
        <v>119</v>
      </c>
      <c r="E165" s="5"/>
      <c r="F165" s="6" t="s">
        <v>11</v>
      </c>
    </row>
    <row r="166" spans="1:6" s="3" customFormat="1" x14ac:dyDescent="0.35">
      <c r="A166" s="3" t="s">
        <v>10</v>
      </c>
      <c r="B166" s="3" t="s">
        <v>373</v>
      </c>
      <c r="C166" s="3" t="s">
        <v>10</v>
      </c>
      <c r="D166" s="7" t="s">
        <v>119</v>
      </c>
      <c r="E166" s="7" t="s">
        <v>119</v>
      </c>
      <c r="F166" s="8"/>
    </row>
    <row r="167" spans="1:6" s="3" customFormat="1" x14ac:dyDescent="0.35">
      <c r="A167" s="9" t="s">
        <v>10</v>
      </c>
      <c r="B167" s="9" t="s">
        <v>206</v>
      </c>
      <c r="C167" s="9" t="s">
        <v>10</v>
      </c>
      <c r="D167" s="10" t="s">
        <v>10</v>
      </c>
      <c r="E167" s="10" t="s">
        <v>11</v>
      </c>
      <c r="F167" s="11" t="s">
        <v>10</v>
      </c>
    </row>
    <row r="168" spans="1:6" s="3" customFormat="1" x14ac:dyDescent="0.35">
      <c r="A168" s="3" t="s">
        <v>374</v>
      </c>
      <c r="B168" s="3" t="s">
        <v>9</v>
      </c>
      <c r="C168" s="3" t="s">
        <v>10</v>
      </c>
      <c r="D168" s="3" t="s">
        <v>10</v>
      </c>
      <c r="E168" s="3" t="s">
        <v>10</v>
      </c>
      <c r="F168" s="4" t="s">
        <v>11</v>
      </c>
    </row>
    <row r="169" spans="1:6" x14ac:dyDescent="0.35">
      <c r="A169" t="s">
        <v>231</v>
      </c>
      <c r="B169" t="s">
        <v>375</v>
      </c>
      <c r="C169" t="s">
        <v>376</v>
      </c>
      <c r="D169" s="5"/>
      <c r="E169" s="5" t="s">
        <v>377</v>
      </c>
      <c r="F169" s="6" t="s">
        <v>378</v>
      </c>
    </row>
    <row r="170" spans="1:6" x14ac:dyDescent="0.35">
      <c r="A170" t="s">
        <v>103</v>
      </c>
      <c r="B170" t="s">
        <v>104</v>
      </c>
      <c r="C170" t="s">
        <v>105</v>
      </c>
      <c r="D170" s="5" t="s">
        <v>106</v>
      </c>
      <c r="E170" s="5"/>
      <c r="F170" s="6" t="s">
        <v>379</v>
      </c>
    </row>
    <row r="171" spans="1:6" x14ac:dyDescent="0.35">
      <c r="A171" t="s">
        <v>103</v>
      </c>
      <c r="B171" t="s">
        <v>108</v>
      </c>
      <c r="C171" t="s">
        <v>109</v>
      </c>
      <c r="D171" s="5" t="s">
        <v>110</v>
      </c>
      <c r="E171" s="5"/>
      <c r="F171" s="6" t="s">
        <v>11</v>
      </c>
    </row>
    <row r="172" spans="1:6" s="3" customFormat="1" x14ac:dyDescent="0.35">
      <c r="A172" s="3" t="s">
        <v>10</v>
      </c>
      <c r="B172" s="3" t="s">
        <v>380</v>
      </c>
      <c r="C172" s="3" t="s">
        <v>10</v>
      </c>
      <c r="D172" s="7" t="s">
        <v>377</v>
      </c>
      <c r="E172" s="7" t="s">
        <v>377</v>
      </c>
      <c r="F172" s="8"/>
    </row>
    <row r="173" spans="1:6" s="3" customFormat="1" x14ac:dyDescent="0.35">
      <c r="A173" s="9" t="s">
        <v>10</v>
      </c>
      <c r="B173" s="9" t="s">
        <v>206</v>
      </c>
      <c r="C173" s="9" t="s">
        <v>10</v>
      </c>
      <c r="D173" s="10" t="s">
        <v>11</v>
      </c>
      <c r="E173" s="10" t="s">
        <v>10</v>
      </c>
      <c r="F173" s="11" t="s">
        <v>10</v>
      </c>
    </row>
    <row r="174" spans="1:6" s="3" customFormat="1" x14ac:dyDescent="0.35">
      <c r="A174" s="3" t="s">
        <v>381</v>
      </c>
      <c r="B174" s="3" t="s">
        <v>9</v>
      </c>
      <c r="C174" s="3" t="s">
        <v>10</v>
      </c>
      <c r="D174" s="3" t="s">
        <v>10</v>
      </c>
      <c r="E174" s="3" t="s">
        <v>10</v>
      </c>
      <c r="F174" s="4" t="s">
        <v>11</v>
      </c>
    </row>
    <row r="175" spans="1:6" x14ac:dyDescent="0.35">
      <c r="A175" t="s">
        <v>382</v>
      </c>
      <c r="B175" t="s">
        <v>383</v>
      </c>
      <c r="C175" t="s">
        <v>384</v>
      </c>
      <c r="D175" s="5"/>
      <c r="E175" s="5" t="s">
        <v>71</v>
      </c>
      <c r="F175" s="6" t="s">
        <v>385</v>
      </c>
    </row>
    <row r="176" spans="1:6" x14ac:dyDescent="0.35">
      <c r="A176" t="s">
        <v>68</v>
      </c>
      <c r="B176" t="s">
        <v>69</v>
      </c>
      <c r="C176" t="s">
        <v>70</v>
      </c>
      <c r="D176" s="5" t="s">
        <v>71</v>
      </c>
      <c r="E176" s="5"/>
      <c r="F176" s="6" t="s">
        <v>11</v>
      </c>
    </row>
    <row r="177" spans="1:8" s="3" customFormat="1" x14ac:dyDescent="0.35">
      <c r="A177" s="3" t="s">
        <v>10</v>
      </c>
      <c r="B177" s="3" t="s">
        <v>386</v>
      </c>
      <c r="C177" s="3" t="s">
        <v>10</v>
      </c>
      <c r="D177" s="7" t="s">
        <v>71</v>
      </c>
      <c r="E177" s="7" t="s">
        <v>71</v>
      </c>
      <c r="F177" s="8"/>
    </row>
    <row r="178" spans="1:8" s="3" customFormat="1" x14ac:dyDescent="0.35">
      <c r="A178" s="9" t="s">
        <v>10</v>
      </c>
      <c r="B178" s="9" t="s">
        <v>206</v>
      </c>
      <c r="C178" s="9" t="s">
        <v>10</v>
      </c>
      <c r="D178" s="10" t="s">
        <v>10</v>
      </c>
      <c r="E178" s="10" t="s">
        <v>11</v>
      </c>
      <c r="F178" s="11" t="s">
        <v>10</v>
      </c>
    </row>
    <row r="179" spans="1:8" s="3" customFormat="1" x14ac:dyDescent="0.35">
      <c r="A179" s="3" t="s">
        <v>387</v>
      </c>
      <c r="B179" s="3" t="s">
        <v>9</v>
      </c>
      <c r="C179" s="3" t="s">
        <v>10</v>
      </c>
      <c r="D179" s="3" t="s">
        <v>10</v>
      </c>
      <c r="E179" s="3" t="s">
        <v>10</v>
      </c>
      <c r="F179" s="4" t="s">
        <v>11</v>
      </c>
    </row>
    <row r="180" spans="1:8" x14ac:dyDescent="0.35">
      <c r="A180" t="s">
        <v>247</v>
      </c>
      <c r="B180" t="s">
        <v>388</v>
      </c>
      <c r="C180" t="s">
        <v>389</v>
      </c>
      <c r="D180" s="5"/>
      <c r="E180" s="5" t="s">
        <v>390</v>
      </c>
      <c r="F180" s="6" t="s">
        <v>391</v>
      </c>
    </row>
    <row r="181" spans="1:8" x14ac:dyDescent="0.35">
      <c r="A181" t="s">
        <v>247</v>
      </c>
      <c r="B181" t="s">
        <v>392</v>
      </c>
      <c r="C181" t="s">
        <v>393</v>
      </c>
      <c r="D181" s="5" t="s">
        <v>390</v>
      </c>
      <c r="E181" s="5"/>
      <c r="F181" s="6" t="s">
        <v>11</v>
      </c>
    </row>
    <row r="182" spans="1:8" x14ac:dyDescent="0.35">
      <c r="A182" t="s">
        <v>247</v>
      </c>
      <c r="B182" t="s">
        <v>394</v>
      </c>
      <c r="C182" t="s">
        <v>395</v>
      </c>
      <c r="D182" s="5"/>
      <c r="E182" s="5" t="s">
        <v>396</v>
      </c>
      <c r="F182" s="6" t="s">
        <v>397</v>
      </c>
    </row>
    <row r="183" spans="1:8" x14ac:dyDescent="0.35">
      <c r="A183" s="14" t="s">
        <v>247</v>
      </c>
      <c r="B183" s="14" t="s">
        <v>398</v>
      </c>
      <c r="C183" s="14" t="s">
        <v>399</v>
      </c>
      <c r="D183" s="15"/>
      <c r="E183" s="15" t="s">
        <v>396</v>
      </c>
      <c r="F183" s="6" t="s">
        <v>400</v>
      </c>
      <c r="H183" t="s">
        <v>527</v>
      </c>
    </row>
    <row r="184" spans="1:8" x14ac:dyDescent="0.35">
      <c r="A184" t="s">
        <v>247</v>
      </c>
      <c r="B184" t="s">
        <v>401</v>
      </c>
      <c r="C184" t="s">
        <v>402</v>
      </c>
      <c r="D184" s="5" t="s">
        <v>396</v>
      </c>
      <c r="E184" s="5"/>
      <c r="F184" s="6" t="s">
        <v>397</v>
      </c>
    </row>
    <row r="185" spans="1:8" x14ac:dyDescent="0.35">
      <c r="A185" t="s">
        <v>247</v>
      </c>
      <c r="B185" t="s">
        <v>403</v>
      </c>
      <c r="C185" t="s">
        <v>404</v>
      </c>
      <c r="D185" s="5"/>
      <c r="E185" s="5" t="s">
        <v>396</v>
      </c>
      <c r="F185" s="6" t="s">
        <v>400</v>
      </c>
    </row>
    <row r="186" spans="1:8" x14ac:dyDescent="0.35">
      <c r="A186" t="s">
        <v>247</v>
      </c>
      <c r="B186" t="s">
        <v>401</v>
      </c>
      <c r="C186" t="s">
        <v>405</v>
      </c>
      <c r="D186" s="5" t="s">
        <v>396</v>
      </c>
      <c r="E186" s="5"/>
      <c r="F186" s="6" t="s">
        <v>397</v>
      </c>
    </row>
    <row r="187" spans="1:8" s="3" customFormat="1" x14ac:dyDescent="0.35">
      <c r="A187" s="3" t="s">
        <v>10</v>
      </c>
      <c r="B187" s="3" t="s">
        <v>406</v>
      </c>
      <c r="C187" s="3" t="s">
        <v>10</v>
      </c>
      <c r="D187" s="7" t="s">
        <v>407</v>
      </c>
      <c r="E187" s="7" t="s">
        <v>408</v>
      </c>
      <c r="F187" s="8"/>
    </row>
    <row r="188" spans="1:8" s="3" customFormat="1" x14ac:dyDescent="0.35">
      <c r="A188" s="9" t="s">
        <v>10</v>
      </c>
      <c r="B188" s="9" t="s">
        <v>206</v>
      </c>
      <c r="C188" s="9" t="s">
        <v>10</v>
      </c>
      <c r="D188" s="10" t="s">
        <v>10</v>
      </c>
      <c r="E188" s="17" t="s">
        <v>396</v>
      </c>
      <c r="F188" s="11" t="s">
        <v>10</v>
      </c>
    </row>
    <row r="189" spans="1:8" s="3" customFormat="1" x14ac:dyDescent="0.35">
      <c r="A189" s="3" t="s">
        <v>409</v>
      </c>
      <c r="B189" s="3" t="s">
        <v>9</v>
      </c>
      <c r="C189" s="3" t="s">
        <v>10</v>
      </c>
      <c r="D189" s="3" t="s">
        <v>10</v>
      </c>
      <c r="E189" s="3" t="s">
        <v>10</v>
      </c>
      <c r="F189" s="4" t="s">
        <v>11</v>
      </c>
    </row>
    <row r="190" spans="1:8" x14ac:dyDescent="0.35">
      <c r="A190" t="s">
        <v>247</v>
      </c>
      <c r="B190" t="s">
        <v>410</v>
      </c>
      <c r="C190" t="s">
        <v>411</v>
      </c>
      <c r="D190" s="5"/>
      <c r="E190" s="5" t="s">
        <v>182</v>
      </c>
      <c r="F190" s="6" t="s">
        <v>412</v>
      </c>
    </row>
    <row r="191" spans="1:8" x14ac:dyDescent="0.35">
      <c r="A191" t="s">
        <v>247</v>
      </c>
      <c r="B191" t="s">
        <v>413</v>
      </c>
      <c r="C191" t="s">
        <v>414</v>
      </c>
      <c r="D191" s="5" t="s">
        <v>182</v>
      </c>
      <c r="E191" s="5"/>
      <c r="F191" s="6" t="s">
        <v>11</v>
      </c>
    </row>
    <row r="192" spans="1:8" x14ac:dyDescent="0.35">
      <c r="A192" t="s">
        <v>103</v>
      </c>
      <c r="B192" t="s">
        <v>415</v>
      </c>
      <c r="C192" t="s">
        <v>416</v>
      </c>
      <c r="D192" s="5"/>
      <c r="E192" s="5" t="s">
        <v>182</v>
      </c>
      <c r="F192" s="6" t="s">
        <v>412</v>
      </c>
    </row>
    <row r="193" spans="1:8" x14ac:dyDescent="0.35">
      <c r="A193" t="s">
        <v>171</v>
      </c>
      <c r="B193" t="s">
        <v>417</v>
      </c>
      <c r="C193" t="s">
        <v>418</v>
      </c>
      <c r="D193" s="5"/>
      <c r="E193" s="5" t="s">
        <v>178</v>
      </c>
      <c r="F193" s="6" t="s">
        <v>419</v>
      </c>
    </row>
    <row r="194" spans="1:8" x14ac:dyDescent="0.35">
      <c r="A194" t="s">
        <v>175</v>
      </c>
      <c r="B194" t="s">
        <v>176</v>
      </c>
      <c r="C194" t="s">
        <v>177</v>
      </c>
      <c r="D194" s="5" t="s">
        <v>178</v>
      </c>
      <c r="E194" s="5"/>
      <c r="F194" s="6" t="s">
        <v>412</v>
      </c>
    </row>
    <row r="195" spans="1:8" x14ac:dyDescent="0.35">
      <c r="A195" t="s">
        <v>175</v>
      </c>
      <c r="B195" t="s">
        <v>180</v>
      </c>
      <c r="C195" t="s">
        <v>181</v>
      </c>
      <c r="D195" s="5" t="s">
        <v>182</v>
      </c>
      <c r="E195" s="5"/>
      <c r="F195" s="6" t="s">
        <v>11</v>
      </c>
    </row>
    <row r="196" spans="1:8" s="3" customFormat="1" x14ac:dyDescent="0.35">
      <c r="A196" s="3" t="s">
        <v>10</v>
      </c>
      <c r="B196" s="3" t="s">
        <v>420</v>
      </c>
      <c r="C196" s="3" t="s">
        <v>10</v>
      </c>
      <c r="D196" s="7" t="s">
        <v>421</v>
      </c>
      <c r="E196" s="7" t="s">
        <v>421</v>
      </c>
      <c r="F196" s="8"/>
    </row>
    <row r="197" spans="1:8" s="3" customFormat="1" x14ac:dyDescent="0.35">
      <c r="A197" s="9" t="s">
        <v>10</v>
      </c>
      <c r="B197" s="9" t="s">
        <v>206</v>
      </c>
      <c r="C197" s="9" t="s">
        <v>10</v>
      </c>
      <c r="D197" s="10" t="s">
        <v>10</v>
      </c>
      <c r="E197" s="10" t="s">
        <v>11</v>
      </c>
      <c r="F197" s="11" t="s">
        <v>10</v>
      </c>
    </row>
    <row r="198" spans="1:8" s="3" customFormat="1" x14ac:dyDescent="0.35">
      <c r="A198" s="3" t="s">
        <v>422</v>
      </c>
      <c r="B198" s="3" t="s">
        <v>9</v>
      </c>
      <c r="C198" s="3" t="s">
        <v>10</v>
      </c>
      <c r="D198" s="3" t="s">
        <v>10</v>
      </c>
      <c r="E198" s="3" t="s">
        <v>10</v>
      </c>
      <c r="F198" s="4" t="s">
        <v>11</v>
      </c>
    </row>
    <row r="199" spans="1:8" x14ac:dyDescent="0.35">
      <c r="A199" t="s">
        <v>103</v>
      </c>
      <c r="B199" t="s">
        <v>423</v>
      </c>
      <c r="C199" t="s">
        <v>424</v>
      </c>
      <c r="D199" s="5"/>
      <c r="E199" s="5" t="s">
        <v>425</v>
      </c>
      <c r="F199" s="6" t="s">
        <v>426</v>
      </c>
    </row>
    <row r="200" spans="1:8" s="3" customFormat="1" x14ac:dyDescent="0.35">
      <c r="A200" s="3" t="s">
        <v>10</v>
      </c>
      <c r="B200" s="3" t="s">
        <v>427</v>
      </c>
      <c r="C200" s="3" t="s">
        <v>10</v>
      </c>
      <c r="D200" s="7" t="s">
        <v>11</v>
      </c>
      <c r="E200" s="7" t="s">
        <v>425</v>
      </c>
      <c r="F200" s="8"/>
    </row>
    <row r="201" spans="1:8" s="3" customFormat="1" x14ac:dyDescent="0.35">
      <c r="A201" s="9" t="s">
        <v>10</v>
      </c>
      <c r="B201" s="9" t="s">
        <v>206</v>
      </c>
      <c r="C201" s="9" t="s">
        <v>10</v>
      </c>
      <c r="D201" s="10" t="s">
        <v>10</v>
      </c>
      <c r="E201" s="28" t="s">
        <v>425</v>
      </c>
      <c r="F201" s="11" t="s">
        <v>10</v>
      </c>
    </row>
    <row r="202" spans="1:8" s="3" customFormat="1" x14ac:dyDescent="0.35">
      <c r="A202" s="3" t="s">
        <v>428</v>
      </c>
      <c r="B202" s="3" t="s">
        <v>9</v>
      </c>
      <c r="C202" s="3" t="s">
        <v>10</v>
      </c>
      <c r="D202" s="3" t="s">
        <v>10</v>
      </c>
      <c r="E202" s="3" t="s">
        <v>10</v>
      </c>
      <c r="F202" s="4" t="s">
        <v>11</v>
      </c>
    </row>
    <row r="203" spans="1:8" x14ac:dyDescent="0.35">
      <c r="A203" t="s">
        <v>103</v>
      </c>
      <c r="B203" t="s">
        <v>429</v>
      </c>
      <c r="C203" t="s">
        <v>430</v>
      </c>
      <c r="D203" s="5"/>
      <c r="E203" s="5" t="s">
        <v>431</v>
      </c>
      <c r="F203" s="6" t="s">
        <v>432</v>
      </c>
    </row>
    <row r="204" spans="1:8" x14ac:dyDescent="0.35">
      <c r="A204" t="s">
        <v>103</v>
      </c>
      <c r="B204" t="s">
        <v>433</v>
      </c>
      <c r="C204" t="s">
        <v>434</v>
      </c>
      <c r="D204" s="5" t="s">
        <v>431</v>
      </c>
      <c r="E204" s="5"/>
      <c r="F204" s="6" t="s">
        <v>11</v>
      </c>
    </row>
    <row r="205" spans="1:8" s="3" customFormat="1" x14ac:dyDescent="0.35">
      <c r="A205" s="3" t="s">
        <v>10</v>
      </c>
      <c r="B205" s="3" t="s">
        <v>435</v>
      </c>
      <c r="C205" s="3" t="s">
        <v>10</v>
      </c>
      <c r="D205" s="7" t="s">
        <v>431</v>
      </c>
      <c r="E205" s="7" t="s">
        <v>431</v>
      </c>
      <c r="F205" s="8"/>
    </row>
    <row r="206" spans="1:8" s="3" customFormat="1" x14ac:dyDescent="0.35">
      <c r="A206" s="9" t="s">
        <v>10</v>
      </c>
      <c r="B206" s="9" t="s">
        <v>206</v>
      </c>
      <c r="C206" s="9" t="s">
        <v>10</v>
      </c>
      <c r="D206" s="10" t="s">
        <v>10</v>
      </c>
      <c r="E206" s="10" t="s">
        <v>11</v>
      </c>
      <c r="F206" s="11" t="s">
        <v>10</v>
      </c>
    </row>
    <row r="207" spans="1:8" s="3" customFormat="1" x14ac:dyDescent="0.35">
      <c r="A207" s="3" t="s">
        <v>436</v>
      </c>
      <c r="B207" s="3" t="s">
        <v>9</v>
      </c>
      <c r="C207" s="3" t="s">
        <v>10</v>
      </c>
      <c r="D207" s="3" t="s">
        <v>10</v>
      </c>
      <c r="E207" s="3" t="s">
        <v>10</v>
      </c>
      <c r="F207" s="4" t="s">
        <v>11</v>
      </c>
    </row>
    <row r="208" spans="1:8" x14ac:dyDescent="0.35">
      <c r="A208" t="s">
        <v>103</v>
      </c>
      <c r="B208" t="s">
        <v>437</v>
      </c>
      <c r="C208" t="s">
        <v>438</v>
      </c>
      <c r="D208" s="5"/>
      <c r="E208" s="5" t="s">
        <v>439</v>
      </c>
      <c r="F208" s="6" t="s">
        <v>440</v>
      </c>
      <c r="H208" t="s">
        <v>536</v>
      </c>
    </row>
    <row r="209" spans="1:6" s="3" customFormat="1" x14ac:dyDescent="0.35">
      <c r="A209" s="3" t="s">
        <v>10</v>
      </c>
      <c r="B209" s="3" t="s">
        <v>441</v>
      </c>
      <c r="C209" s="3" t="s">
        <v>10</v>
      </c>
      <c r="D209" s="7" t="s">
        <v>11</v>
      </c>
      <c r="E209" s="7" t="s">
        <v>439</v>
      </c>
      <c r="F209" s="8"/>
    </row>
    <row r="210" spans="1:6" s="3" customFormat="1" x14ac:dyDescent="0.35">
      <c r="A210" s="9" t="s">
        <v>10</v>
      </c>
      <c r="B210" s="9" t="s">
        <v>206</v>
      </c>
      <c r="C210" s="9" t="s">
        <v>10</v>
      </c>
      <c r="D210" s="10" t="s">
        <v>10</v>
      </c>
      <c r="E210" s="10" t="s">
        <v>439</v>
      </c>
      <c r="F210" s="11" t="s">
        <v>10</v>
      </c>
    </row>
    <row r="211" spans="1:6" s="3" customFormat="1" x14ac:dyDescent="0.35">
      <c r="A211" s="3" t="s">
        <v>442</v>
      </c>
      <c r="B211" s="3" t="s">
        <v>9</v>
      </c>
      <c r="C211" s="3" t="s">
        <v>10</v>
      </c>
      <c r="D211" s="3" t="s">
        <v>10</v>
      </c>
      <c r="E211" s="3" t="s">
        <v>10</v>
      </c>
      <c r="F211" s="4" t="s">
        <v>11</v>
      </c>
    </row>
    <row r="212" spans="1:6" x14ac:dyDescent="0.35">
      <c r="A212" t="s">
        <v>133</v>
      </c>
      <c r="B212" t="s">
        <v>443</v>
      </c>
      <c r="C212" t="s">
        <v>444</v>
      </c>
      <c r="D212" s="5"/>
      <c r="E212" s="5" t="s">
        <v>148</v>
      </c>
      <c r="F212" s="6" t="s">
        <v>445</v>
      </c>
    </row>
    <row r="213" spans="1:6" x14ac:dyDescent="0.35">
      <c r="A213" t="s">
        <v>133</v>
      </c>
      <c r="B213" t="s">
        <v>446</v>
      </c>
      <c r="C213" t="s">
        <v>447</v>
      </c>
      <c r="D213" s="5" t="s">
        <v>148</v>
      </c>
      <c r="E213" s="5"/>
      <c r="F213" s="6" t="s">
        <v>11</v>
      </c>
    </row>
    <row r="214" spans="1:6" x14ac:dyDescent="0.35">
      <c r="A214" t="s">
        <v>133</v>
      </c>
      <c r="B214" t="s">
        <v>443</v>
      </c>
      <c r="C214" t="s">
        <v>448</v>
      </c>
      <c r="D214" s="5"/>
      <c r="E214" s="5" t="s">
        <v>148</v>
      </c>
      <c r="F214" s="6" t="s">
        <v>445</v>
      </c>
    </row>
    <row r="215" spans="1:6" x14ac:dyDescent="0.35">
      <c r="A215" t="s">
        <v>145</v>
      </c>
      <c r="B215" t="s">
        <v>146</v>
      </c>
      <c r="C215" t="s">
        <v>147</v>
      </c>
      <c r="D215" s="5" t="s">
        <v>148</v>
      </c>
      <c r="E215" s="5"/>
      <c r="F215" s="6" t="s">
        <v>11</v>
      </c>
    </row>
    <row r="216" spans="1:6" x14ac:dyDescent="0.35">
      <c r="A216" t="s">
        <v>449</v>
      </c>
      <c r="B216" t="s">
        <v>450</v>
      </c>
      <c r="C216" t="s">
        <v>451</v>
      </c>
      <c r="D216" s="5"/>
      <c r="E216" s="5" t="s">
        <v>148</v>
      </c>
      <c r="F216" s="6" t="s">
        <v>445</v>
      </c>
    </row>
    <row r="217" spans="1:6" x14ac:dyDescent="0.35">
      <c r="A217" t="s">
        <v>449</v>
      </c>
      <c r="B217" t="s">
        <v>446</v>
      </c>
      <c r="C217" t="s">
        <v>452</v>
      </c>
      <c r="D217" s="5" t="s">
        <v>148</v>
      </c>
      <c r="E217" s="5"/>
      <c r="F217" s="6" t="s">
        <v>11</v>
      </c>
    </row>
    <row r="218" spans="1:6" s="3" customFormat="1" x14ac:dyDescent="0.35">
      <c r="A218" s="3" t="s">
        <v>10</v>
      </c>
      <c r="B218" s="3" t="s">
        <v>453</v>
      </c>
      <c r="C218" s="3" t="s">
        <v>10</v>
      </c>
      <c r="D218" s="7" t="s">
        <v>454</v>
      </c>
      <c r="E218" s="7" t="s">
        <v>454</v>
      </c>
      <c r="F218" s="8"/>
    </row>
    <row r="219" spans="1:6" s="3" customFormat="1" x14ac:dyDescent="0.35">
      <c r="A219" s="9" t="s">
        <v>10</v>
      </c>
      <c r="B219" s="9" t="s">
        <v>206</v>
      </c>
      <c r="C219" s="9" t="s">
        <v>10</v>
      </c>
      <c r="D219" s="10" t="s">
        <v>10</v>
      </c>
      <c r="E219" s="10" t="s">
        <v>11</v>
      </c>
      <c r="F219" s="11" t="s">
        <v>10</v>
      </c>
    </row>
    <row r="220" spans="1:6" s="3" customFormat="1" x14ac:dyDescent="0.35">
      <c r="A220" s="3" t="s">
        <v>455</v>
      </c>
      <c r="B220" s="3" t="s">
        <v>9</v>
      </c>
      <c r="C220" s="3" t="s">
        <v>10</v>
      </c>
      <c r="D220" s="3" t="s">
        <v>10</v>
      </c>
      <c r="E220" s="3" t="s">
        <v>10</v>
      </c>
      <c r="F220" s="4" t="s">
        <v>11</v>
      </c>
    </row>
    <row r="221" spans="1:6" x14ac:dyDescent="0.35">
      <c r="A221" t="s">
        <v>150</v>
      </c>
      <c r="B221" t="s">
        <v>456</v>
      </c>
      <c r="C221" t="s">
        <v>457</v>
      </c>
      <c r="D221" s="5"/>
      <c r="E221" s="5" t="s">
        <v>190</v>
      </c>
      <c r="F221" s="6" t="s">
        <v>458</v>
      </c>
    </row>
    <row r="222" spans="1:6" x14ac:dyDescent="0.35">
      <c r="A222" t="s">
        <v>187</v>
      </c>
      <c r="B222" t="s">
        <v>188</v>
      </c>
      <c r="C222" t="s">
        <v>189</v>
      </c>
      <c r="D222" s="5" t="s">
        <v>190</v>
      </c>
      <c r="E222" s="5"/>
      <c r="F222" s="6" t="s">
        <v>11</v>
      </c>
    </row>
    <row r="223" spans="1:6" s="3" customFormat="1" x14ac:dyDescent="0.35">
      <c r="A223" s="3" t="s">
        <v>10</v>
      </c>
      <c r="B223" s="3" t="s">
        <v>459</v>
      </c>
      <c r="C223" s="3" t="s">
        <v>10</v>
      </c>
      <c r="D223" s="7" t="s">
        <v>190</v>
      </c>
      <c r="E223" s="7" t="s">
        <v>190</v>
      </c>
      <c r="F223" s="8"/>
    </row>
    <row r="224" spans="1:6" s="3" customFormat="1" x14ac:dyDescent="0.35">
      <c r="A224" s="9" t="s">
        <v>10</v>
      </c>
      <c r="B224" s="9" t="s">
        <v>206</v>
      </c>
      <c r="C224" s="9" t="s">
        <v>10</v>
      </c>
      <c r="D224" s="10" t="s">
        <v>10</v>
      </c>
      <c r="E224" s="10" t="s">
        <v>11</v>
      </c>
      <c r="F224" s="11" t="s">
        <v>10</v>
      </c>
    </row>
    <row r="225" spans="1:6" s="3" customFormat="1" x14ac:dyDescent="0.35">
      <c r="A225" s="3" t="s">
        <v>460</v>
      </c>
      <c r="B225" s="3" t="s">
        <v>9</v>
      </c>
      <c r="C225" s="3" t="s">
        <v>10</v>
      </c>
      <c r="D225" s="3" t="s">
        <v>10</v>
      </c>
      <c r="E225" s="3" t="s">
        <v>10</v>
      </c>
      <c r="F225" s="4" t="s">
        <v>11</v>
      </c>
    </row>
    <row r="226" spans="1:6" x14ac:dyDescent="0.35">
      <c r="A226" t="s">
        <v>208</v>
      </c>
      <c r="B226" t="s">
        <v>209</v>
      </c>
      <c r="C226" t="s">
        <v>210</v>
      </c>
      <c r="D226" s="5" t="s">
        <v>83</v>
      </c>
      <c r="E226" s="5"/>
      <c r="F226" s="6" t="s">
        <v>83</v>
      </c>
    </row>
    <row r="227" spans="1:6" x14ac:dyDescent="0.35">
      <c r="A227" t="s">
        <v>223</v>
      </c>
      <c r="B227" t="s">
        <v>224</v>
      </c>
      <c r="C227" t="s">
        <v>225</v>
      </c>
      <c r="D227" s="5" t="s">
        <v>23</v>
      </c>
      <c r="E227" s="5"/>
      <c r="F227" s="6" t="s">
        <v>461</v>
      </c>
    </row>
    <row r="228" spans="1:6" x14ac:dyDescent="0.35">
      <c r="A228" t="s">
        <v>223</v>
      </c>
      <c r="B228" t="s">
        <v>269</v>
      </c>
      <c r="C228" t="s">
        <v>270</v>
      </c>
      <c r="D228" s="5" t="s">
        <v>271</v>
      </c>
      <c r="E228" s="5"/>
      <c r="F228" s="6" t="s">
        <v>462</v>
      </c>
    </row>
    <row r="229" spans="1:6" x14ac:dyDescent="0.35">
      <c r="A229" t="s">
        <v>223</v>
      </c>
      <c r="B229" t="s">
        <v>273</v>
      </c>
      <c r="C229" t="s">
        <v>274</v>
      </c>
      <c r="D229" s="5"/>
      <c r="E229" s="5" t="s">
        <v>271</v>
      </c>
      <c r="F229" s="6" t="s">
        <v>461</v>
      </c>
    </row>
    <row r="230" spans="1:6" x14ac:dyDescent="0.35">
      <c r="A230" t="s">
        <v>277</v>
      </c>
      <c r="B230" t="s">
        <v>278</v>
      </c>
      <c r="C230" t="s">
        <v>279</v>
      </c>
      <c r="D230" s="5" t="s">
        <v>280</v>
      </c>
      <c r="E230" s="5"/>
      <c r="F230" s="6" t="s">
        <v>463</v>
      </c>
    </row>
    <row r="231" spans="1:6" x14ac:dyDescent="0.35">
      <c r="A231" t="s">
        <v>277</v>
      </c>
      <c r="B231" t="s">
        <v>282</v>
      </c>
      <c r="C231" t="s">
        <v>283</v>
      </c>
      <c r="D231" s="5"/>
      <c r="E231" s="5" t="s">
        <v>280</v>
      </c>
      <c r="F231" s="6" t="s">
        <v>461</v>
      </c>
    </row>
    <row r="232" spans="1:6" x14ac:dyDescent="0.35">
      <c r="A232" t="s">
        <v>277</v>
      </c>
      <c r="B232" t="s">
        <v>278</v>
      </c>
      <c r="C232" t="s">
        <v>284</v>
      </c>
      <c r="D232" s="5" t="s">
        <v>280</v>
      </c>
      <c r="E232" s="5"/>
      <c r="F232" s="6" t="s">
        <v>463</v>
      </c>
    </row>
    <row r="233" spans="1:6" x14ac:dyDescent="0.35">
      <c r="A233" t="s">
        <v>277</v>
      </c>
      <c r="B233" t="s">
        <v>282</v>
      </c>
      <c r="C233" t="s">
        <v>285</v>
      </c>
      <c r="D233" s="5"/>
      <c r="E233" s="5" t="s">
        <v>280</v>
      </c>
      <c r="F233" s="6" t="s">
        <v>461</v>
      </c>
    </row>
    <row r="234" spans="1:6" x14ac:dyDescent="0.35">
      <c r="A234" t="s">
        <v>212</v>
      </c>
      <c r="B234" t="s">
        <v>213</v>
      </c>
      <c r="C234" t="s">
        <v>214</v>
      </c>
      <c r="D234" s="5" t="s">
        <v>79</v>
      </c>
      <c r="E234" s="5"/>
      <c r="F234" s="6" t="s">
        <v>464</v>
      </c>
    </row>
    <row r="235" spans="1:6" x14ac:dyDescent="0.35">
      <c r="A235" t="s">
        <v>289</v>
      </c>
      <c r="B235" t="s">
        <v>290</v>
      </c>
      <c r="C235" t="s">
        <v>291</v>
      </c>
      <c r="D235" s="5" t="s">
        <v>19</v>
      </c>
      <c r="E235" s="5"/>
      <c r="F235" s="6" t="s">
        <v>465</v>
      </c>
    </row>
    <row r="236" spans="1:6" x14ac:dyDescent="0.35">
      <c r="A236" t="s">
        <v>227</v>
      </c>
      <c r="B236" t="s">
        <v>228</v>
      </c>
      <c r="C236" t="s">
        <v>229</v>
      </c>
      <c r="D236" s="5" t="s">
        <v>51</v>
      </c>
      <c r="E236" s="5"/>
      <c r="F236" s="6" t="s">
        <v>466</v>
      </c>
    </row>
    <row r="237" spans="1:6" x14ac:dyDescent="0.35">
      <c r="A237" t="s">
        <v>299</v>
      </c>
      <c r="B237" t="s">
        <v>300</v>
      </c>
      <c r="C237" t="s">
        <v>301</v>
      </c>
      <c r="D237" s="5" t="s">
        <v>96</v>
      </c>
      <c r="E237" s="5"/>
      <c r="F237" s="6" t="s">
        <v>467</v>
      </c>
    </row>
    <row r="238" spans="1:6" x14ac:dyDescent="0.35">
      <c r="A238" t="s">
        <v>309</v>
      </c>
      <c r="B238" t="s">
        <v>310</v>
      </c>
      <c r="C238" t="s">
        <v>311</v>
      </c>
      <c r="D238" s="5" t="s">
        <v>35</v>
      </c>
      <c r="E238" s="5"/>
      <c r="F238" s="6" t="s">
        <v>468</v>
      </c>
    </row>
    <row r="239" spans="1:6" x14ac:dyDescent="0.35">
      <c r="A239" t="s">
        <v>315</v>
      </c>
      <c r="B239" t="s">
        <v>316</v>
      </c>
      <c r="C239" t="s">
        <v>317</v>
      </c>
      <c r="D239" s="5" t="s">
        <v>31</v>
      </c>
      <c r="E239" s="5"/>
      <c r="F239" s="6" t="s">
        <v>469</v>
      </c>
    </row>
    <row r="240" spans="1:6" x14ac:dyDescent="0.35">
      <c r="A240" t="s">
        <v>293</v>
      </c>
      <c r="B240" t="s">
        <v>294</v>
      </c>
      <c r="C240" t="s">
        <v>295</v>
      </c>
      <c r="D240" s="5" t="s">
        <v>15</v>
      </c>
      <c r="E240" s="5"/>
      <c r="F240" s="6" t="s">
        <v>470</v>
      </c>
    </row>
    <row r="241" spans="1:6" x14ac:dyDescent="0.35">
      <c r="A241" t="s">
        <v>321</v>
      </c>
      <c r="B241" t="s">
        <v>322</v>
      </c>
      <c r="C241" t="s">
        <v>323</v>
      </c>
      <c r="D241" s="5" t="s">
        <v>63</v>
      </c>
      <c r="E241" s="5"/>
      <c r="F241" s="6" t="s">
        <v>471</v>
      </c>
    </row>
    <row r="242" spans="1:6" x14ac:dyDescent="0.35">
      <c r="A242" t="s">
        <v>321</v>
      </c>
      <c r="B242" t="s">
        <v>327</v>
      </c>
      <c r="C242" t="s">
        <v>328</v>
      </c>
      <c r="D242" s="5" t="s">
        <v>43</v>
      </c>
      <c r="E242" s="5"/>
      <c r="F242" s="6" t="s">
        <v>472</v>
      </c>
    </row>
    <row r="243" spans="1:6" x14ac:dyDescent="0.35">
      <c r="A243" t="s">
        <v>321</v>
      </c>
      <c r="B243" t="s">
        <v>332</v>
      </c>
      <c r="C243" t="s">
        <v>333</v>
      </c>
      <c r="D243" s="5" t="s">
        <v>75</v>
      </c>
      <c r="E243" s="5"/>
      <c r="F243" s="6" t="s">
        <v>473</v>
      </c>
    </row>
    <row r="244" spans="1:6" x14ac:dyDescent="0.35">
      <c r="A244" t="s">
        <v>348</v>
      </c>
      <c r="B244" t="s">
        <v>349</v>
      </c>
      <c r="C244" t="s">
        <v>350</v>
      </c>
      <c r="D244" s="5" t="s">
        <v>39</v>
      </c>
      <c r="E244" s="5"/>
      <c r="F244" s="6" t="s">
        <v>474</v>
      </c>
    </row>
    <row r="245" spans="1:6" x14ac:dyDescent="0.35">
      <c r="A245" t="s">
        <v>231</v>
      </c>
      <c r="B245" t="s">
        <v>362</v>
      </c>
      <c r="C245" t="s">
        <v>363</v>
      </c>
      <c r="D245" s="5" t="s">
        <v>27</v>
      </c>
      <c r="E245" s="5"/>
      <c r="F245" s="6" t="s">
        <v>475</v>
      </c>
    </row>
    <row r="246" spans="1:6" x14ac:dyDescent="0.35">
      <c r="A246" t="s">
        <v>231</v>
      </c>
      <c r="B246" t="s">
        <v>232</v>
      </c>
      <c r="C246" t="s">
        <v>233</v>
      </c>
      <c r="D246" s="5" t="s">
        <v>47</v>
      </c>
      <c r="E246" s="5"/>
      <c r="F246" s="6" t="s">
        <v>476</v>
      </c>
    </row>
    <row r="247" spans="1:6" x14ac:dyDescent="0.35">
      <c r="A247" t="s">
        <v>231</v>
      </c>
      <c r="B247" t="s">
        <v>303</v>
      </c>
      <c r="C247" t="s">
        <v>304</v>
      </c>
      <c r="D247" s="5" t="s">
        <v>55</v>
      </c>
      <c r="E247" s="5"/>
      <c r="F247" s="6" t="s">
        <v>477</v>
      </c>
    </row>
    <row r="248" spans="1:6" x14ac:dyDescent="0.35">
      <c r="A248" t="s">
        <v>231</v>
      </c>
      <c r="B248" t="s">
        <v>370</v>
      </c>
      <c r="C248" t="s">
        <v>371</v>
      </c>
      <c r="D248" s="5" t="s">
        <v>119</v>
      </c>
      <c r="E248" s="5"/>
      <c r="F248" s="6" t="s">
        <v>478</v>
      </c>
    </row>
    <row r="249" spans="1:6" x14ac:dyDescent="0.35">
      <c r="A249" t="s">
        <v>231</v>
      </c>
      <c r="B249" t="s">
        <v>375</v>
      </c>
      <c r="C249" t="s">
        <v>376</v>
      </c>
      <c r="D249" s="5" t="s">
        <v>377</v>
      </c>
      <c r="E249" s="5"/>
      <c r="F249" s="6" t="s">
        <v>479</v>
      </c>
    </row>
    <row r="250" spans="1:6" x14ac:dyDescent="0.35">
      <c r="A250" t="s">
        <v>382</v>
      </c>
      <c r="B250" t="s">
        <v>383</v>
      </c>
      <c r="C250" t="s">
        <v>384</v>
      </c>
      <c r="D250" s="5" t="s">
        <v>71</v>
      </c>
      <c r="E250" s="5"/>
      <c r="F250" s="6" t="s">
        <v>480</v>
      </c>
    </row>
    <row r="251" spans="1:6" x14ac:dyDescent="0.35">
      <c r="A251" t="s">
        <v>12</v>
      </c>
      <c r="B251" t="s">
        <v>57</v>
      </c>
      <c r="C251" t="s">
        <v>58</v>
      </c>
      <c r="D251" s="5"/>
      <c r="E251" s="5" t="s">
        <v>59</v>
      </c>
      <c r="F251" s="6" t="s">
        <v>481</v>
      </c>
    </row>
    <row r="252" spans="1:6" x14ac:dyDescent="0.35">
      <c r="A252" t="s">
        <v>238</v>
      </c>
      <c r="B252" t="s">
        <v>239</v>
      </c>
      <c r="C252" t="s">
        <v>240</v>
      </c>
      <c r="D252" s="5" t="s">
        <v>241</v>
      </c>
      <c r="E252" s="5"/>
      <c r="F252" s="6" t="s">
        <v>482</v>
      </c>
    </row>
    <row r="253" spans="1:6" x14ac:dyDescent="0.35">
      <c r="A253" t="s">
        <v>238</v>
      </c>
      <c r="B253" t="s">
        <v>243</v>
      </c>
      <c r="C253" t="s">
        <v>244</v>
      </c>
      <c r="D253" s="5"/>
      <c r="E253" s="5" t="s">
        <v>241</v>
      </c>
      <c r="F253" s="6" t="s">
        <v>481</v>
      </c>
    </row>
    <row r="254" spans="1:6" x14ac:dyDescent="0.35">
      <c r="A254" t="s">
        <v>238</v>
      </c>
      <c r="B254" t="s">
        <v>245</v>
      </c>
      <c r="C254" t="s">
        <v>246</v>
      </c>
      <c r="D254" s="5" t="s">
        <v>241</v>
      </c>
      <c r="E254" s="5"/>
      <c r="F254" s="6" t="s">
        <v>482</v>
      </c>
    </row>
    <row r="255" spans="1:6" x14ac:dyDescent="0.35">
      <c r="A255" t="s">
        <v>68</v>
      </c>
      <c r="B255" t="s">
        <v>57</v>
      </c>
      <c r="C255" t="s">
        <v>85</v>
      </c>
      <c r="D255" s="5"/>
      <c r="E255" s="5" t="s">
        <v>86</v>
      </c>
      <c r="F255" s="6" t="s">
        <v>483</v>
      </c>
    </row>
    <row r="256" spans="1:6" x14ac:dyDescent="0.35">
      <c r="A256" t="s">
        <v>68</v>
      </c>
      <c r="B256" t="s">
        <v>57</v>
      </c>
      <c r="C256" t="s">
        <v>88</v>
      </c>
      <c r="D256" s="5"/>
      <c r="E256" s="5" t="s">
        <v>89</v>
      </c>
      <c r="F256" s="6" t="s">
        <v>484</v>
      </c>
    </row>
    <row r="257" spans="1:7" x14ac:dyDescent="0.35">
      <c r="A257" t="s">
        <v>68</v>
      </c>
      <c r="B257" t="s">
        <v>57</v>
      </c>
      <c r="C257" t="s">
        <v>91</v>
      </c>
      <c r="D257" s="5"/>
      <c r="E257" s="5" t="s">
        <v>92</v>
      </c>
      <c r="F257" s="6" t="s">
        <v>485</v>
      </c>
    </row>
    <row r="258" spans="1:7" x14ac:dyDescent="0.35">
      <c r="A258" t="s">
        <v>352</v>
      </c>
      <c r="B258" t="s">
        <v>353</v>
      </c>
      <c r="C258" t="s">
        <v>354</v>
      </c>
      <c r="D258" s="5" t="s">
        <v>123</v>
      </c>
      <c r="E258" s="5"/>
      <c r="F258" s="6" t="s">
        <v>486</v>
      </c>
    </row>
    <row r="259" spans="1:7" x14ac:dyDescent="0.35">
      <c r="A259" t="s">
        <v>352</v>
      </c>
      <c r="B259" t="s">
        <v>356</v>
      </c>
      <c r="C259" t="s">
        <v>357</v>
      </c>
      <c r="D259" s="5"/>
      <c r="E259" s="5" t="s">
        <v>123</v>
      </c>
      <c r="F259" s="6" t="s">
        <v>485</v>
      </c>
    </row>
    <row r="260" spans="1:7" x14ac:dyDescent="0.35">
      <c r="A260" t="s">
        <v>352</v>
      </c>
      <c r="B260" t="s">
        <v>353</v>
      </c>
      <c r="C260" t="s">
        <v>358</v>
      </c>
      <c r="D260" s="5" t="s">
        <v>123</v>
      </c>
      <c r="E260" s="5"/>
      <c r="F260" s="6" t="s">
        <v>486</v>
      </c>
    </row>
    <row r="261" spans="1:7" x14ac:dyDescent="0.35">
      <c r="A261" t="s">
        <v>335</v>
      </c>
      <c r="B261" t="s">
        <v>336</v>
      </c>
      <c r="C261" t="s">
        <v>337</v>
      </c>
      <c r="D261" s="5" t="s">
        <v>338</v>
      </c>
      <c r="E261" s="5"/>
      <c r="F261" s="6" t="s">
        <v>487</v>
      </c>
    </row>
    <row r="262" spans="1:7" x14ac:dyDescent="0.35">
      <c r="A262" t="s">
        <v>335</v>
      </c>
      <c r="B262" t="s">
        <v>340</v>
      </c>
      <c r="C262" t="s">
        <v>341</v>
      </c>
      <c r="D262" s="5"/>
      <c r="E262" s="5" t="s">
        <v>338</v>
      </c>
      <c r="F262" s="6" t="s">
        <v>486</v>
      </c>
    </row>
    <row r="263" spans="1:7" x14ac:dyDescent="0.35">
      <c r="A263" t="s">
        <v>335</v>
      </c>
      <c r="B263" t="s">
        <v>342</v>
      </c>
      <c r="C263" t="s">
        <v>343</v>
      </c>
      <c r="D263" s="5" t="s">
        <v>338</v>
      </c>
      <c r="E263" s="5"/>
      <c r="F263" s="6" t="s">
        <v>487</v>
      </c>
    </row>
    <row r="264" spans="1:7" x14ac:dyDescent="0.35">
      <c r="A264" t="s">
        <v>216</v>
      </c>
      <c r="B264" t="s">
        <v>217</v>
      </c>
      <c r="C264" t="s">
        <v>218</v>
      </c>
      <c r="D264" s="5" t="s">
        <v>131</v>
      </c>
      <c r="E264" s="5"/>
      <c r="F264" s="6" t="s">
        <v>488</v>
      </c>
    </row>
    <row r="265" spans="1:7" x14ac:dyDescent="0.35">
      <c r="A265" t="s">
        <v>98</v>
      </c>
      <c r="B265" t="s">
        <v>99</v>
      </c>
      <c r="C265" t="s">
        <v>100</v>
      </c>
      <c r="D265" s="5"/>
      <c r="E265" s="5" t="s">
        <v>101</v>
      </c>
      <c r="F265" s="6" t="s">
        <v>489</v>
      </c>
    </row>
    <row r="266" spans="1:7" x14ac:dyDescent="0.35">
      <c r="A266" t="s">
        <v>247</v>
      </c>
      <c r="B266" t="s">
        <v>248</v>
      </c>
      <c r="C266" t="s">
        <v>249</v>
      </c>
      <c r="D266" s="5" t="s">
        <v>127</v>
      </c>
      <c r="E266" s="5"/>
      <c r="F266" s="6" t="s">
        <v>490</v>
      </c>
    </row>
    <row r="267" spans="1:7" x14ac:dyDescent="0.35">
      <c r="A267" t="s">
        <v>247</v>
      </c>
      <c r="B267" t="s">
        <v>251</v>
      </c>
      <c r="C267" t="s">
        <v>252</v>
      </c>
      <c r="D267" s="5"/>
      <c r="E267" s="5" t="s">
        <v>127</v>
      </c>
      <c r="F267" s="6" t="s">
        <v>489</v>
      </c>
    </row>
    <row r="268" spans="1:7" x14ac:dyDescent="0.35">
      <c r="A268" s="14" t="s">
        <v>247</v>
      </c>
      <c r="B268" s="14" t="s">
        <v>253</v>
      </c>
      <c r="C268" s="14" t="s">
        <v>254</v>
      </c>
      <c r="D268" s="15" t="s">
        <v>127</v>
      </c>
      <c r="E268" s="5"/>
      <c r="F268" s="6" t="s">
        <v>490</v>
      </c>
    </row>
    <row r="269" spans="1:7" x14ac:dyDescent="0.35">
      <c r="A269" t="s">
        <v>247</v>
      </c>
      <c r="B269" t="s">
        <v>255</v>
      </c>
      <c r="C269" t="s">
        <v>256</v>
      </c>
      <c r="D269" s="5" t="s">
        <v>257</v>
      </c>
      <c r="E269" s="5"/>
      <c r="F269" s="6" t="s">
        <v>491</v>
      </c>
    </row>
    <row r="270" spans="1:7" x14ac:dyDescent="0.35">
      <c r="A270" t="s">
        <v>247</v>
      </c>
      <c r="B270" t="s">
        <v>388</v>
      </c>
      <c r="C270" t="s">
        <v>389</v>
      </c>
      <c r="D270" s="5" t="s">
        <v>390</v>
      </c>
      <c r="E270" s="5"/>
      <c r="F270" s="6" t="s">
        <v>492</v>
      </c>
    </row>
    <row r="271" spans="1:7" x14ac:dyDescent="0.35">
      <c r="A271" t="s">
        <v>247</v>
      </c>
      <c r="B271" t="s">
        <v>259</v>
      </c>
      <c r="C271" t="s">
        <v>260</v>
      </c>
      <c r="D271" s="5"/>
      <c r="E271" s="5" t="s">
        <v>257</v>
      </c>
      <c r="F271" s="6" t="s">
        <v>493</v>
      </c>
    </row>
    <row r="272" spans="1:7" x14ac:dyDescent="0.35">
      <c r="A272" s="14" t="s">
        <v>247</v>
      </c>
      <c r="B272" s="14" t="s">
        <v>261</v>
      </c>
      <c r="C272" s="14" t="s">
        <v>262</v>
      </c>
      <c r="D272" s="15" t="s">
        <v>257</v>
      </c>
      <c r="E272" s="5"/>
      <c r="F272" s="6" t="s">
        <v>492</v>
      </c>
      <c r="G272" t="s">
        <v>535</v>
      </c>
    </row>
    <row r="273" spans="1:7" x14ac:dyDescent="0.35">
      <c r="A273" t="s">
        <v>247</v>
      </c>
      <c r="B273" t="s">
        <v>392</v>
      </c>
      <c r="C273" t="s">
        <v>393</v>
      </c>
      <c r="D273" s="5"/>
      <c r="E273" s="5" t="s">
        <v>390</v>
      </c>
      <c r="F273" s="6" t="s">
        <v>491</v>
      </c>
    </row>
    <row r="274" spans="1:7" x14ac:dyDescent="0.35">
      <c r="A274" t="s">
        <v>247</v>
      </c>
      <c r="B274" t="s">
        <v>394</v>
      </c>
      <c r="C274" t="s">
        <v>395</v>
      </c>
      <c r="D274" s="5" t="s">
        <v>396</v>
      </c>
      <c r="E274" s="5"/>
      <c r="F274" s="6" t="s">
        <v>494</v>
      </c>
    </row>
    <row r="275" spans="1:7" x14ac:dyDescent="0.35">
      <c r="A275" s="14" t="s">
        <v>247</v>
      </c>
      <c r="B275" s="14" t="s">
        <v>398</v>
      </c>
      <c r="C275" s="14" t="s">
        <v>399</v>
      </c>
      <c r="D275" s="15" t="s">
        <v>396</v>
      </c>
      <c r="E275" s="5"/>
      <c r="F275" s="6" t="s">
        <v>495</v>
      </c>
      <c r="G275" t="s">
        <v>535</v>
      </c>
    </row>
    <row r="276" spans="1:7" x14ac:dyDescent="0.35">
      <c r="A276" t="s">
        <v>247</v>
      </c>
      <c r="B276" t="s">
        <v>401</v>
      </c>
      <c r="C276" t="s">
        <v>402</v>
      </c>
      <c r="D276" s="5"/>
      <c r="E276" s="5" t="s">
        <v>396</v>
      </c>
      <c r="F276" s="6" t="s">
        <v>494</v>
      </c>
    </row>
    <row r="277" spans="1:7" x14ac:dyDescent="0.35">
      <c r="A277" t="s">
        <v>247</v>
      </c>
      <c r="B277" t="s">
        <v>403</v>
      </c>
      <c r="C277" t="s">
        <v>404</v>
      </c>
      <c r="D277" s="5" t="s">
        <v>396</v>
      </c>
      <c r="E277" s="5"/>
      <c r="F277" s="6" t="s">
        <v>495</v>
      </c>
    </row>
    <row r="278" spans="1:7" x14ac:dyDescent="0.35">
      <c r="A278" t="s">
        <v>247</v>
      </c>
      <c r="B278" t="s">
        <v>401</v>
      </c>
      <c r="C278" t="s">
        <v>405</v>
      </c>
      <c r="D278" s="5"/>
      <c r="E278" s="5" t="s">
        <v>396</v>
      </c>
      <c r="F278" s="6" t="s">
        <v>494</v>
      </c>
    </row>
    <row r="279" spans="1:7" x14ac:dyDescent="0.35">
      <c r="A279" t="s">
        <v>247</v>
      </c>
      <c r="B279" t="s">
        <v>410</v>
      </c>
      <c r="C279" t="s">
        <v>411</v>
      </c>
      <c r="D279" s="5" t="s">
        <v>182</v>
      </c>
      <c r="E279" s="5"/>
      <c r="F279" s="6" t="s">
        <v>496</v>
      </c>
    </row>
    <row r="280" spans="1:7" x14ac:dyDescent="0.35">
      <c r="A280" t="s">
        <v>247</v>
      </c>
      <c r="B280" t="s">
        <v>413</v>
      </c>
      <c r="C280" t="s">
        <v>414</v>
      </c>
      <c r="D280" s="5"/>
      <c r="E280" s="5" t="s">
        <v>182</v>
      </c>
      <c r="F280" s="6" t="s">
        <v>494</v>
      </c>
    </row>
    <row r="281" spans="1:7" x14ac:dyDescent="0.35">
      <c r="A281" t="s">
        <v>103</v>
      </c>
      <c r="B281" t="s">
        <v>112</v>
      </c>
      <c r="C281" t="s">
        <v>113</v>
      </c>
      <c r="D281" s="5" t="s">
        <v>114</v>
      </c>
      <c r="E281" s="5"/>
      <c r="F281" s="6" t="s">
        <v>497</v>
      </c>
    </row>
    <row r="282" spans="1:7" x14ac:dyDescent="0.35">
      <c r="A282" t="s">
        <v>103</v>
      </c>
      <c r="B282" t="s">
        <v>423</v>
      </c>
      <c r="C282" t="s">
        <v>424</v>
      </c>
      <c r="D282" s="5" t="s">
        <v>425</v>
      </c>
      <c r="E282" s="5"/>
      <c r="F282" s="6" t="s">
        <v>498</v>
      </c>
    </row>
    <row r="283" spans="1:7" x14ac:dyDescent="0.35">
      <c r="A283" t="s">
        <v>103</v>
      </c>
      <c r="B283" t="s">
        <v>429</v>
      </c>
      <c r="C283" t="s">
        <v>430</v>
      </c>
      <c r="D283" s="5" t="s">
        <v>431</v>
      </c>
      <c r="E283" s="5"/>
      <c r="F283" s="6" t="s">
        <v>499</v>
      </c>
    </row>
    <row r="284" spans="1:7" x14ac:dyDescent="0.35">
      <c r="A284" t="s">
        <v>103</v>
      </c>
      <c r="B284" t="s">
        <v>433</v>
      </c>
      <c r="C284" t="s">
        <v>434</v>
      </c>
      <c r="D284" s="5"/>
      <c r="E284" s="5" t="s">
        <v>431</v>
      </c>
      <c r="F284" s="6" t="s">
        <v>498</v>
      </c>
    </row>
    <row r="285" spans="1:7" x14ac:dyDescent="0.35">
      <c r="A285" t="s">
        <v>103</v>
      </c>
      <c r="B285" t="s">
        <v>415</v>
      </c>
      <c r="C285" t="s">
        <v>416</v>
      </c>
      <c r="D285" s="5" t="s">
        <v>182</v>
      </c>
      <c r="E285" s="5"/>
      <c r="F285" s="6" t="s">
        <v>500</v>
      </c>
    </row>
    <row r="286" spans="1:7" x14ac:dyDescent="0.35">
      <c r="A286" t="s">
        <v>103</v>
      </c>
      <c r="B286" t="s">
        <v>437</v>
      </c>
      <c r="C286" t="s">
        <v>438</v>
      </c>
      <c r="D286" s="5" t="s">
        <v>439</v>
      </c>
      <c r="E286" s="5"/>
      <c r="F286" s="6" t="s">
        <v>501</v>
      </c>
    </row>
    <row r="287" spans="1:7" x14ac:dyDescent="0.35">
      <c r="A287" t="s">
        <v>133</v>
      </c>
      <c r="B287" t="s">
        <v>112</v>
      </c>
      <c r="C287" t="s">
        <v>134</v>
      </c>
      <c r="D287" s="5" t="s">
        <v>135</v>
      </c>
      <c r="E287" s="5"/>
      <c r="F287" s="6" t="s">
        <v>502</v>
      </c>
    </row>
    <row r="288" spans="1:7" x14ac:dyDescent="0.35">
      <c r="A288" t="s">
        <v>133</v>
      </c>
      <c r="B288" t="s">
        <v>112</v>
      </c>
      <c r="C288" t="s">
        <v>137</v>
      </c>
      <c r="D288" s="5" t="s">
        <v>138</v>
      </c>
      <c r="E288" s="5"/>
      <c r="F288" s="6" t="s">
        <v>503</v>
      </c>
    </row>
    <row r="289" spans="1:7" x14ac:dyDescent="0.35">
      <c r="A289" t="s">
        <v>133</v>
      </c>
      <c r="B289" t="s">
        <v>443</v>
      </c>
      <c r="C289" t="s">
        <v>444</v>
      </c>
      <c r="D289" s="5" t="s">
        <v>148</v>
      </c>
      <c r="E289" s="5"/>
      <c r="F289" s="6" t="s">
        <v>504</v>
      </c>
    </row>
    <row r="290" spans="1:7" x14ac:dyDescent="0.35">
      <c r="A290" t="s">
        <v>133</v>
      </c>
      <c r="B290" t="s">
        <v>446</v>
      </c>
      <c r="C290" t="s">
        <v>447</v>
      </c>
      <c r="D290" s="5"/>
      <c r="E290" s="5" t="s">
        <v>148</v>
      </c>
      <c r="F290" s="6" t="s">
        <v>503</v>
      </c>
    </row>
    <row r="291" spans="1:7" x14ac:dyDescent="0.35">
      <c r="A291" t="s">
        <v>133</v>
      </c>
      <c r="B291" t="s">
        <v>443</v>
      </c>
      <c r="C291" t="s">
        <v>448</v>
      </c>
      <c r="D291" s="5" t="s">
        <v>148</v>
      </c>
      <c r="E291" s="5"/>
      <c r="F291" s="6" t="s">
        <v>504</v>
      </c>
    </row>
    <row r="292" spans="1:7" x14ac:dyDescent="0.35">
      <c r="A292" s="14" t="s">
        <v>133</v>
      </c>
      <c r="B292" s="14" t="s">
        <v>112</v>
      </c>
      <c r="C292" s="14" t="s">
        <v>140</v>
      </c>
      <c r="D292" s="15" t="s">
        <v>138</v>
      </c>
      <c r="E292" s="5"/>
      <c r="F292" s="6" t="s">
        <v>505</v>
      </c>
      <c r="G292" t="s">
        <v>535</v>
      </c>
    </row>
    <row r="293" spans="1:7" x14ac:dyDescent="0.35">
      <c r="A293" t="s">
        <v>133</v>
      </c>
      <c r="B293" t="s">
        <v>112</v>
      </c>
      <c r="C293" t="s">
        <v>142</v>
      </c>
      <c r="D293" s="5" t="s">
        <v>143</v>
      </c>
      <c r="E293" s="5"/>
      <c r="F293" s="6" t="s">
        <v>506</v>
      </c>
    </row>
    <row r="294" spans="1:7" x14ac:dyDescent="0.35">
      <c r="A294" t="s">
        <v>150</v>
      </c>
      <c r="B294" t="s">
        <v>112</v>
      </c>
      <c r="C294" t="s">
        <v>151</v>
      </c>
      <c r="D294" s="5" t="s">
        <v>152</v>
      </c>
      <c r="E294" s="5"/>
      <c r="F294" s="6" t="s">
        <v>507</v>
      </c>
    </row>
    <row r="295" spans="1:7" x14ac:dyDescent="0.35">
      <c r="A295" s="14" t="s">
        <v>150</v>
      </c>
      <c r="B295" s="14" t="s">
        <v>112</v>
      </c>
      <c r="C295" s="14" t="s">
        <v>154</v>
      </c>
      <c r="D295" s="15" t="s">
        <v>152</v>
      </c>
      <c r="E295" s="5"/>
      <c r="F295" s="6" t="s">
        <v>508</v>
      </c>
    </row>
    <row r="296" spans="1:7" x14ac:dyDescent="0.35">
      <c r="A296" t="s">
        <v>150</v>
      </c>
      <c r="B296" t="s">
        <v>156</v>
      </c>
      <c r="C296" t="s">
        <v>157</v>
      </c>
      <c r="D296" s="5"/>
      <c r="E296" s="5" t="s">
        <v>152</v>
      </c>
      <c r="F296" s="6" t="s">
        <v>507</v>
      </c>
    </row>
    <row r="297" spans="1:7" x14ac:dyDescent="0.35">
      <c r="A297" t="s">
        <v>150</v>
      </c>
      <c r="B297" t="s">
        <v>456</v>
      </c>
      <c r="C297" t="s">
        <v>457</v>
      </c>
      <c r="D297" s="5" t="s">
        <v>190</v>
      </c>
      <c r="E297" s="5"/>
      <c r="F297" s="6" t="s">
        <v>509</v>
      </c>
    </row>
    <row r="298" spans="1:7" x14ac:dyDescent="0.35">
      <c r="A298" t="s">
        <v>150</v>
      </c>
      <c r="B298" t="s">
        <v>112</v>
      </c>
      <c r="C298" t="s">
        <v>158</v>
      </c>
      <c r="D298" s="5" t="s">
        <v>152</v>
      </c>
      <c r="E298" s="5"/>
      <c r="F298" s="6" t="s">
        <v>510</v>
      </c>
    </row>
    <row r="299" spans="1:7" x14ac:dyDescent="0.35">
      <c r="A299" t="s">
        <v>159</v>
      </c>
      <c r="B299" t="s">
        <v>160</v>
      </c>
      <c r="C299" t="s">
        <v>161</v>
      </c>
      <c r="D299" s="5"/>
      <c r="E299" s="5" t="s">
        <v>162</v>
      </c>
      <c r="F299" s="6" t="s">
        <v>511</v>
      </c>
    </row>
    <row r="300" spans="1:7" x14ac:dyDescent="0.35">
      <c r="A300" s="14" t="s">
        <v>164</v>
      </c>
      <c r="B300" s="14" t="s">
        <v>112</v>
      </c>
      <c r="C300" s="14" t="s">
        <v>165</v>
      </c>
      <c r="D300" s="15" t="s">
        <v>166</v>
      </c>
      <c r="E300" s="15"/>
      <c r="F300" s="6" t="s">
        <v>512</v>
      </c>
      <c r="G300" t="s">
        <v>535</v>
      </c>
    </row>
    <row r="301" spans="1:7" x14ac:dyDescent="0.35">
      <c r="A301" t="s">
        <v>164</v>
      </c>
      <c r="B301" t="s">
        <v>112</v>
      </c>
      <c r="C301" t="s">
        <v>168</v>
      </c>
      <c r="D301" s="5" t="s">
        <v>166</v>
      </c>
      <c r="E301" s="5"/>
      <c r="F301" s="6" t="s">
        <v>513</v>
      </c>
    </row>
    <row r="302" spans="1:7" x14ac:dyDescent="0.35">
      <c r="A302" t="s">
        <v>164</v>
      </c>
      <c r="B302" t="s">
        <v>156</v>
      </c>
      <c r="C302" t="s">
        <v>170</v>
      </c>
      <c r="D302" s="5"/>
      <c r="E302" s="5" t="s">
        <v>166</v>
      </c>
      <c r="F302" s="6" t="s">
        <v>512</v>
      </c>
    </row>
    <row r="303" spans="1:7" x14ac:dyDescent="0.35">
      <c r="A303" t="s">
        <v>171</v>
      </c>
      <c r="B303" t="s">
        <v>417</v>
      </c>
      <c r="C303" t="s">
        <v>418</v>
      </c>
      <c r="D303" s="5" t="s">
        <v>178</v>
      </c>
      <c r="E303" s="5"/>
      <c r="F303" s="6" t="s">
        <v>514</v>
      </c>
    </row>
    <row r="304" spans="1:7" x14ac:dyDescent="0.35">
      <c r="A304" t="s">
        <v>171</v>
      </c>
      <c r="B304" t="s">
        <v>112</v>
      </c>
      <c r="C304" t="s">
        <v>172</v>
      </c>
      <c r="D304" s="5" t="s">
        <v>173</v>
      </c>
      <c r="E304" s="5"/>
      <c r="F304" s="6" t="s">
        <v>515</v>
      </c>
    </row>
    <row r="305" spans="1:6" x14ac:dyDescent="0.35">
      <c r="A305" t="s">
        <v>175</v>
      </c>
      <c r="B305" t="s">
        <v>112</v>
      </c>
      <c r="C305" t="s">
        <v>184</v>
      </c>
      <c r="D305" s="5" t="s">
        <v>185</v>
      </c>
      <c r="E305" s="5"/>
      <c r="F305" s="6" t="s">
        <v>516</v>
      </c>
    </row>
    <row r="306" spans="1:6" x14ac:dyDescent="0.35">
      <c r="A306" t="s">
        <v>187</v>
      </c>
      <c r="B306" t="s">
        <v>112</v>
      </c>
      <c r="C306" t="s">
        <v>192</v>
      </c>
      <c r="D306" s="5" t="s">
        <v>193</v>
      </c>
      <c r="E306" s="5"/>
      <c r="F306" s="6" t="s">
        <v>517</v>
      </c>
    </row>
    <row r="307" spans="1:6" x14ac:dyDescent="0.35">
      <c r="A307" t="s">
        <v>195</v>
      </c>
      <c r="B307" t="s">
        <v>112</v>
      </c>
      <c r="C307" t="s">
        <v>196</v>
      </c>
      <c r="D307" s="5" t="s">
        <v>197</v>
      </c>
      <c r="E307" s="5"/>
      <c r="F307" s="6" t="s">
        <v>518</v>
      </c>
    </row>
    <row r="308" spans="1:6" x14ac:dyDescent="0.35">
      <c r="A308" t="s">
        <v>199</v>
      </c>
      <c r="B308" t="s">
        <v>112</v>
      </c>
      <c r="C308" t="s">
        <v>200</v>
      </c>
      <c r="D308" s="5" t="s">
        <v>201</v>
      </c>
      <c r="E308" s="5"/>
      <c r="F308" s="6" t="s">
        <v>519</v>
      </c>
    </row>
    <row r="309" spans="1:6" x14ac:dyDescent="0.35">
      <c r="A309" t="s">
        <v>449</v>
      </c>
      <c r="B309" t="s">
        <v>450</v>
      </c>
      <c r="C309" t="s">
        <v>451</v>
      </c>
      <c r="D309" s="5" t="s">
        <v>148</v>
      </c>
      <c r="E309" s="5"/>
      <c r="F309" s="6" t="s">
        <v>520</v>
      </c>
    </row>
    <row r="310" spans="1:6" x14ac:dyDescent="0.35">
      <c r="A310" t="s">
        <v>449</v>
      </c>
      <c r="B310" t="s">
        <v>446</v>
      </c>
      <c r="C310" t="s">
        <v>452</v>
      </c>
      <c r="D310" s="5"/>
      <c r="E310" s="5" t="s">
        <v>148</v>
      </c>
      <c r="F310" s="6" t="s">
        <v>519</v>
      </c>
    </row>
    <row r="311" spans="1:6" s="3" customFormat="1" x14ac:dyDescent="0.35">
      <c r="A311" s="3" t="s">
        <v>10</v>
      </c>
      <c r="B311" s="3" t="s">
        <v>521</v>
      </c>
      <c r="C311" s="3" t="s">
        <v>10</v>
      </c>
      <c r="D311" s="7" t="s">
        <v>522</v>
      </c>
      <c r="E311" s="7" t="s">
        <v>523</v>
      </c>
      <c r="F311" s="8"/>
    </row>
    <row r="312" spans="1:6" s="3" customFormat="1" x14ac:dyDescent="0.35">
      <c r="A312" s="9" t="s">
        <v>10</v>
      </c>
      <c r="B312" s="9" t="s">
        <v>206</v>
      </c>
      <c r="C312" s="9" t="s">
        <v>10</v>
      </c>
      <c r="D312" s="10" t="s">
        <v>10</v>
      </c>
      <c r="E312" s="10" t="s">
        <v>524</v>
      </c>
      <c r="F312" s="11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2026-06-24T03:56:23Z</dcterms:created>
  <dcterms:modified xsi:type="dcterms:W3CDTF">2026-06-24T05:20:09Z</dcterms:modified>
  <cp:category/>
</cp:coreProperties>
</file>